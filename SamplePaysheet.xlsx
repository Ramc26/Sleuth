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ukshicom-my.sharepoint.com/personal/archana_ambepu_sukshi_com/Documents/Desktop/Archana/Jukshio/Payroll/FY 2025-26/11.Feb 2026/"/>
    </mc:Choice>
  </mc:AlternateContent>
  <xr:revisionPtr revIDLastSave="268" documentId="13_ncr:1_{6D15FBA1-F187-47C8-A45F-28529D5FE292}" xr6:coauthVersionLast="47" xr6:coauthVersionMax="47" xr10:uidLastSave="{F51FA49E-9AEE-4234-BB9C-33A99B0193F0}"/>
  <bookViews>
    <workbookView xWindow="-110" yWindow="-110" windowWidth="19420" windowHeight="11500" tabRatio="934" xr2:uid="{00000000-000D-0000-FFFF-FFFF00000000}"/>
  </bookViews>
  <sheets>
    <sheet name="Anchors_Feb'26" sheetId="5" r:id="rId1"/>
    <sheet name="Anchor-Attendance" sheetId="1" r:id="rId2"/>
    <sheet name="Jan'26- Leave Bal" sheetId="4" r:id="rId3"/>
  </sheets>
  <definedNames>
    <definedName name="_xlnm._FilterDatabase" localSheetId="1" hidden="1">'Anchor-Attendance'!$A$2:$CM$85</definedName>
    <definedName name="_xlnm._FilterDatabase" localSheetId="0" hidden="1">'Anchors_Feb''26'!$A$2:$AT$84</definedName>
    <definedName name="Lookup3" localSheetId="0">#REF!</definedName>
    <definedName name="Lookup3">#REF!</definedName>
    <definedName name="Lookup4" localSheetId="0">#REF!</definedName>
    <definedName name="Lookup4">#REF!</definedName>
    <definedName name="Lookup5" localSheetId="0">#REF!</definedName>
    <definedName name="Lookup5">#REF!</definedName>
    <definedName name="Lookup8" localSheetId="0">#REF!</definedName>
    <definedName name="Lookup8">#REF!</definedName>
    <definedName name="MY_FUNCTION1" localSheetId="0">LAMBDA(COUNTIF(#REF!,"P, GS, NS, AS")+COUNTIF(#REF!,"HFL")/2)</definedName>
    <definedName name="MY_FUNCTION1">LAMBDA(COUNTIF(#REF!,"P, GS, NS, AS")+COUNTIF(#REF!,"HFL")/2)</definedName>
    <definedName name="Z_2FCF1042_317D_405B_9755_79F67EE60BF7_.wvu.FilterData" localSheetId="1" hidden="1">'Anchor-Attendance'!$A$1:$BU$966</definedName>
    <definedName name="Z_6CA5A66D_F0E4_4B98_B57D_AE8003213ED1_.wvu.FilterData" localSheetId="1" hidden="1">'Anchor-Attendance'!$A$2:$BU$85</definedName>
    <definedName name="Z_8329BA15_7D85_441F_B47A_54F95BCAAD99_.wvu.FilterData" localSheetId="0" hidden="1">'Anchors_Feb''26'!#REF!</definedName>
    <definedName name="Z_92FF37BE_4D90_41BF_BF95_683C9F941C26_.wvu.FilterData" localSheetId="0" hidden="1">'Anchors_Feb''26'!#REF!</definedName>
    <definedName name="Z_93283C9E_E88D_4500_8E1D_09A6AA1B1713_.wvu.FilterData" localSheetId="1" hidden="1">'Anchor-Attendance'!$A$2:$BU$85</definedName>
    <definedName name="Z_CD998FDE_4051_4EDA_B9E7_0AB9A887DB46_.wvu.FilterData" localSheetId="0" hidden="1">'Anchors_Feb''26'!#REF!</definedName>
  </definedNames>
  <calcPr calcId="191029"/>
  <customWorkbookViews>
    <customWorkbookView name="Filter 1" guid="{6CA5A66D-F0E4-4B98-B57D-AE8003213ED1}" maximized="1" windowWidth="0" windowHeight="0" activeSheetId="0"/>
    <customWorkbookView name="Filter 3" guid="{2FCF1042-317D-405B-9755-79F67EE60BF7}" maximized="1" windowWidth="0" windowHeight="0" activeSheetId="0"/>
    <customWorkbookView name="Filter 2" guid="{93283C9E-E88D-4500-8E1D-09A6AA1B171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2" i="5" l="1"/>
  <c r="X24" i="5"/>
  <c r="X30" i="5"/>
  <c r="X44" i="5"/>
  <c r="X55" i="5"/>
  <c r="X62" i="5"/>
  <c r="X68" i="5"/>
  <c r="X77" i="5"/>
  <c r="X79" i="5"/>
  <c r="X81" i="5"/>
  <c r="AQ18" i="5"/>
  <c r="AQ17" i="5"/>
  <c r="AQ4" i="5"/>
  <c r="AQ3" i="5"/>
  <c r="N3" i="5" l="1"/>
  <c r="AP3" i="5" s="1"/>
  <c r="AR3" i="5" s="1"/>
  <c r="X3" i="5" s="1"/>
  <c r="N4" i="5"/>
  <c r="AP4" i="5" s="1"/>
  <c r="AR4" i="5" s="1"/>
  <c r="X4" i="5" s="1"/>
  <c r="N17" i="5"/>
  <c r="AP17" i="5" s="1"/>
  <c r="AR17" i="5" s="1"/>
  <c r="X17" i="5" s="1"/>
  <c r="N18" i="5"/>
  <c r="AP18" i="5" s="1"/>
  <c r="AR18" i="5" s="1"/>
  <c r="X18" i="5" s="1"/>
  <c r="N22" i="5"/>
  <c r="AP22" i="5" s="1"/>
  <c r="N24" i="5"/>
  <c r="AP24" i="5" s="1"/>
  <c r="N30" i="5"/>
  <c r="AP30" i="5" s="1"/>
  <c r="N44" i="5"/>
  <c r="AP44" i="5" s="1"/>
  <c r="N55" i="5"/>
  <c r="AP55" i="5" s="1"/>
  <c r="N62" i="5"/>
  <c r="AP62" i="5" s="1"/>
  <c r="N68" i="5"/>
  <c r="AP68" i="5" s="1"/>
  <c r="N77" i="5"/>
  <c r="AP77" i="5" s="1"/>
  <c r="N79" i="5"/>
  <c r="AP79" i="5" s="1"/>
  <c r="N81" i="5"/>
  <c r="AP81" i="5" s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Q83" i="5"/>
  <c r="AP83" i="5"/>
  <c r="AL84" i="5"/>
  <c r="AJ84" i="5"/>
  <c r="AI84" i="5"/>
  <c r="AH84" i="5"/>
  <c r="AC84" i="5"/>
  <c r="U84" i="5"/>
  <c r="T84" i="5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A4" i="4"/>
  <c r="A5" i="4"/>
  <c r="A6" i="4"/>
  <c r="A7" i="4"/>
  <c r="A8" i="4"/>
  <c r="A9" i="4"/>
  <c r="A10" i="4"/>
  <c r="A11" i="4"/>
  <c r="A12" i="4"/>
  <c r="A13" i="4"/>
  <c r="A14" i="4"/>
  <c r="A15" i="4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R83" i="5" l="1"/>
  <c r="X84" i="5"/>
  <c r="BU84" i="1"/>
  <c r="AY84" i="1"/>
  <c r="AX84" i="1"/>
  <c r="AW84" i="1"/>
  <c r="AV84" i="1"/>
  <c r="AU84" i="1"/>
  <c r="AT84" i="1"/>
  <c r="AS84" i="1"/>
  <c r="BN84" i="1" s="1"/>
  <c r="BT84" i="1" s="1"/>
  <c r="AR84" i="1"/>
  <c r="AQ84" i="1"/>
  <c r="AP84" i="1"/>
  <c r="AO84" i="1"/>
  <c r="AN84" i="1"/>
  <c r="BU83" i="1"/>
  <c r="AY83" i="1"/>
  <c r="AX83" i="1"/>
  <c r="AW83" i="1"/>
  <c r="AV83" i="1"/>
  <c r="AU83" i="1"/>
  <c r="AT83" i="1"/>
  <c r="AS83" i="1"/>
  <c r="BN83" i="1" s="1"/>
  <c r="BT83" i="1" s="1"/>
  <c r="AR83" i="1"/>
  <c r="AQ83" i="1"/>
  <c r="AP83" i="1"/>
  <c r="AO83" i="1"/>
  <c r="AN83" i="1"/>
  <c r="BU82" i="1"/>
  <c r="AY82" i="1"/>
  <c r="AX82" i="1"/>
  <c r="AW82" i="1"/>
  <c r="AV82" i="1"/>
  <c r="AU82" i="1"/>
  <c r="AT82" i="1"/>
  <c r="AS82" i="1"/>
  <c r="BN82" i="1" s="1"/>
  <c r="BT82" i="1" s="1"/>
  <c r="AR82" i="1"/>
  <c r="AQ82" i="1"/>
  <c r="AP82" i="1"/>
  <c r="AO82" i="1"/>
  <c r="AN82" i="1"/>
  <c r="BU81" i="1"/>
  <c r="AY81" i="1"/>
  <c r="AX81" i="1"/>
  <c r="AW81" i="1"/>
  <c r="AV81" i="1"/>
  <c r="AU81" i="1"/>
  <c r="AT81" i="1"/>
  <c r="AS81" i="1"/>
  <c r="BN81" i="1" s="1"/>
  <c r="BT81" i="1" s="1"/>
  <c r="AR81" i="1"/>
  <c r="AQ81" i="1"/>
  <c r="AP81" i="1"/>
  <c r="AO81" i="1"/>
  <c r="AN81" i="1"/>
  <c r="BU80" i="1"/>
  <c r="AY80" i="1"/>
  <c r="AX80" i="1"/>
  <c r="AW80" i="1"/>
  <c r="AV80" i="1"/>
  <c r="AU80" i="1"/>
  <c r="AT80" i="1"/>
  <c r="AS80" i="1"/>
  <c r="BN80" i="1" s="1"/>
  <c r="BT80" i="1" s="1"/>
  <c r="AR80" i="1"/>
  <c r="AQ80" i="1"/>
  <c r="AP80" i="1"/>
  <c r="AO80" i="1"/>
  <c r="AN80" i="1"/>
  <c r="BU79" i="1"/>
  <c r="AY79" i="1"/>
  <c r="AX79" i="1"/>
  <c r="AW79" i="1"/>
  <c r="AV79" i="1"/>
  <c r="AU79" i="1"/>
  <c r="AT79" i="1"/>
  <c r="AS79" i="1"/>
  <c r="BN79" i="1" s="1"/>
  <c r="BT79" i="1" s="1"/>
  <c r="AR79" i="1"/>
  <c r="AQ79" i="1"/>
  <c r="AP79" i="1"/>
  <c r="AO79" i="1"/>
  <c r="AN79" i="1"/>
  <c r="BU78" i="1"/>
  <c r="AY78" i="1"/>
  <c r="AX78" i="1"/>
  <c r="AW78" i="1"/>
  <c r="AV78" i="1"/>
  <c r="AU78" i="1"/>
  <c r="AT78" i="1"/>
  <c r="AS78" i="1"/>
  <c r="BN78" i="1" s="1"/>
  <c r="BT78" i="1" s="1"/>
  <c r="AR78" i="1"/>
  <c r="AQ78" i="1"/>
  <c r="AP78" i="1"/>
  <c r="AO78" i="1"/>
  <c r="AN78" i="1"/>
  <c r="BU77" i="1"/>
  <c r="AY77" i="1"/>
  <c r="AX77" i="1"/>
  <c r="AW77" i="1"/>
  <c r="AV77" i="1"/>
  <c r="AU77" i="1"/>
  <c r="AT77" i="1"/>
  <c r="AS77" i="1"/>
  <c r="BN77" i="1" s="1"/>
  <c r="BT77" i="1" s="1"/>
  <c r="AR77" i="1"/>
  <c r="AQ77" i="1"/>
  <c r="AP77" i="1"/>
  <c r="AO77" i="1"/>
  <c r="AN77" i="1"/>
  <c r="BU76" i="1"/>
  <c r="AY76" i="1"/>
  <c r="AX76" i="1"/>
  <c r="AW76" i="1"/>
  <c r="AV76" i="1"/>
  <c r="AU76" i="1"/>
  <c r="AT76" i="1"/>
  <c r="AS76" i="1"/>
  <c r="BN76" i="1" s="1"/>
  <c r="BT76" i="1" s="1"/>
  <c r="AR76" i="1"/>
  <c r="AQ76" i="1"/>
  <c r="AP76" i="1"/>
  <c r="AO76" i="1"/>
  <c r="AN76" i="1"/>
  <c r="BU75" i="1"/>
  <c r="AY75" i="1"/>
  <c r="AX75" i="1"/>
  <c r="AW75" i="1"/>
  <c r="AV75" i="1"/>
  <c r="AU75" i="1"/>
  <c r="AT75" i="1"/>
  <c r="AS75" i="1"/>
  <c r="BN75" i="1" s="1"/>
  <c r="BT75" i="1" s="1"/>
  <c r="AR75" i="1"/>
  <c r="AQ75" i="1"/>
  <c r="AP75" i="1"/>
  <c r="AO75" i="1"/>
  <c r="AN75" i="1"/>
  <c r="BU74" i="1"/>
  <c r="AY74" i="1"/>
  <c r="AX74" i="1"/>
  <c r="AW74" i="1"/>
  <c r="AV74" i="1"/>
  <c r="AU74" i="1"/>
  <c r="AT74" i="1"/>
  <c r="AS74" i="1"/>
  <c r="BN74" i="1" s="1"/>
  <c r="BT74" i="1" s="1"/>
  <c r="AR74" i="1"/>
  <c r="AQ74" i="1"/>
  <c r="AP74" i="1"/>
  <c r="AO74" i="1"/>
  <c r="AN74" i="1"/>
  <c r="BU73" i="1"/>
  <c r="AY73" i="1"/>
  <c r="AX73" i="1"/>
  <c r="AW73" i="1"/>
  <c r="AV73" i="1"/>
  <c r="AU73" i="1"/>
  <c r="AT73" i="1"/>
  <c r="AS73" i="1"/>
  <c r="BN73" i="1" s="1"/>
  <c r="BT73" i="1" s="1"/>
  <c r="AR73" i="1"/>
  <c r="AQ73" i="1"/>
  <c r="AP73" i="1"/>
  <c r="AO73" i="1"/>
  <c r="AN73" i="1"/>
  <c r="BU72" i="1"/>
  <c r="AY72" i="1"/>
  <c r="AX72" i="1"/>
  <c r="AW72" i="1"/>
  <c r="AV72" i="1"/>
  <c r="AU72" i="1"/>
  <c r="AT72" i="1"/>
  <c r="AS72" i="1"/>
  <c r="BN72" i="1" s="1"/>
  <c r="BT72" i="1" s="1"/>
  <c r="AR72" i="1"/>
  <c r="AQ72" i="1"/>
  <c r="AP72" i="1"/>
  <c r="AO72" i="1"/>
  <c r="AN72" i="1"/>
  <c r="BU71" i="1"/>
  <c r="AY71" i="1"/>
  <c r="AX71" i="1"/>
  <c r="AW71" i="1"/>
  <c r="AV71" i="1"/>
  <c r="AU71" i="1"/>
  <c r="AT71" i="1"/>
  <c r="AS71" i="1"/>
  <c r="BN71" i="1" s="1"/>
  <c r="BT71" i="1" s="1"/>
  <c r="AR71" i="1"/>
  <c r="AQ71" i="1"/>
  <c r="AP71" i="1"/>
  <c r="AO71" i="1"/>
  <c r="AN71" i="1"/>
  <c r="BU70" i="1"/>
  <c r="AY70" i="1"/>
  <c r="AX70" i="1"/>
  <c r="AW70" i="1"/>
  <c r="AV70" i="1"/>
  <c r="AU70" i="1"/>
  <c r="AT70" i="1"/>
  <c r="AS70" i="1"/>
  <c r="BN70" i="1" s="1"/>
  <c r="BT70" i="1" s="1"/>
  <c r="AR70" i="1"/>
  <c r="AQ70" i="1"/>
  <c r="AP70" i="1"/>
  <c r="AO70" i="1"/>
  <c r="AN70" i="1"/>
  <c r="BU69" i="1"/>
  <c r="AY69" i="1"/>
  <c r="AX69" i="1"/>
  <c r="AW69" i="1"/>
  <c r="AV69" i="1"/>
  <c r="AU69" i="1"/>
  <c r="AT69" i="1"/>
  <c r="AS69" i="1"/>
  <c r="BN69" i="1" s="1"/>
  <c r="BT69" i="1" s="1"/>
  <c r="AR69" i="1"/>
  <c r="AQ69" i="1"/>
  <c r="AP69" i="1"/>
  <c r="AO69" i="1"/>
  <c r="AN69" i="1"/>
  <c r="BU68" i="1"/>
  <c r="AY68" i="1"/>
  <c r="AX68" i="1"/>
  <c r="AW68" i="1"/>
  <c r="AV68" i="1"/>
  <c r="AU68" i="1"/>
  <c r="AT68" i="1"/>
  <c r="AS68" i="1"/>
  <c r="BN68" i="1" s="1"/>
  <c r="BT68" i="1" s="1"/>
  <c r="AR68" i="1"/>
  <c r="AQ68" i="1"/>
  <c r="AP68" i="1"/>
  <c r="AO68" i="1"/>
  <c r="AN68" i="1"/>
  <c r="BU67" i="1"/>
  <c r="AY67" i="1"/>
  <c r="AX67" i="1"/>
  <c r="AW67" i="1"/>
  <c r="AV67" i="1"/>
  <c r="AU67" i="1"/>
  <c r="AT67" i="1"/>
  <c r="AS67" i="1"/>
  <c r="BN67" i="1" s="1"/>
  <c r="BT67" i="1" s="1"/>
  <c r="AR67" i="1"/>
  <c r="AQ67" i="1"/>
  <c r="AP67" i="1"/>
  <c r="AO67" i="1"/>
  <c r="AN67" i="1"/>
  <c r="BU66" i="1"/>
  <c r="AY66" i="1"/>
  <c r="AX66" i="1"/>
  <c r="AW66" i="1"/>
  <c r="AV66" i="1"/>
  <c r="AU66" i="1"/>
  <c r="AT66" i="1"/>
  <c r="AS66" i="1"/>
  <c r="BN66" i="1" s="1"/>
  <c r="BT66" i="1" s="1"/>
  <c r="AR66" i="1"/>
  <c r="AQ66" i="1"/>
  <c r="AP66" i="1"/>
  <c r="AO66" i="1"/>
  <c r="AN66" i="1"/>
  <c r="BU65" i="1"/>
  <c r="AY65" i="1"/>
  <c r="AX65" i="1"/>
  <c r="AW65" i="1"/>
  <c r="AV65" i="1"/>
  <c r="AU65" i="1"/>
  <c r="AT65" i="1"/>
  <c r="AS65" i="1"/>
  <c r="BN65" i="1" s="1"/>
  <c r="BT65" i="1" s="1"/>
  <c r="AR65" i="1"/>
  <c r="AQ65" i="1"/>
  <c r="AP65" i="1"/>
  <c r="AO65" i="1"/>
  <c r="AN65" i="1"/>
  <c r="BU64" i="1"/>
  <c r="AY64" i="1"/>
  <c r="AX64" i="1"/>
  <c r="AW64" i="1"/>
  <c r="AV64" i="1"/>
  <c r="AU64" i="1"/>
  <c r="AT64" i="1"/>
  <c r="AS64" i="1"/>
  <c r="BN64" i="1" s="1"/>
  <c r="BT64" i="1" s="1"/>
  <c r="AR64" i="1"/>
  <c r="AQ64" i="1"/>
  <c r="AP64" i="1"/>
  <c r="AO64" i="1"/>
  <c r="AN64" i="1"/>
  <c r="BU63" i="1"/>
  <c r="AY63" i="1"/>
  <c r="AX63" i="1"/>
  <c r="AW63" i="1"/>
  <c r="AV63" i="1"/>
  <c r="AU63" i="1"/>
  <c r="AT63" i="1"/>
  <c r="AS63" i="1"/>
  <c r="BN63" i="1" s="1"/>
  <c r="BT63" i="1" s="1"/>
  <c r="AR63" i="1"/>
  <c r="AQ63" i="1"/>
  <c r="AP63" i="1"/>
  <c r="AO63" i="1"/>
  <c r="AN63" i="1"/>
  <c r="BU62" i="1"/>
  <c r="AY62" i="1"/>
  <c r="AX62" i="1"/>
  <c r="AW62" i="1"/>
  <c r="AV62" i="1"/>
  <c r="AU62" i="1"/>
  <c r="AT62" i="1"/>
  <c r="AS62" i="1"/>
  <c r="BN62" i="1" s="1"/>
  <c r="BT62" i="1" s="1"/>
  <c r="AR62" i="1"/>
  <c r="AQ62" i="1"/>
  <c r="AP62" i="1"/>
  <c r="AO62" i="1"/>
  <c r="AN62" i="1"/>
  <c r="BU61" i="1"/>
  <c r="AY61" i="1"/>
  <c r="AX61" i="1"/>
  <c r="AW61" i="1"/>
  <c r="AV61" i="1"/>
  <c r="AU61" i="1"/>
  <c r="AT61" i="1"/>
  <c r="AS61" i="1"/>
  <c r="BN61" i="1" s="1"/>
  <c r="BT61" i="1" s="1"/>
  <c r="AR61" i="1"/>
  <c r="AQ61" i="1"/>
  <c r="AP61" i="1"/>
  <c r="AO61" i="1"/>
  <c r="AN61" i="1"/>
  <c r="BU60" i="1"/>
  <c r="AY60" i="1"/>
  <c r="AX60" i="1"/>
  <c r="AW60" i="1"/>
  <c r="AV60" i="1"/>
  <c r="AU60" i="1"/>
  <c r="AT60" i="1"/>
  <c r="AS60" i="1"/>
  <c r="BN60" i="1" s="1"/>
  <c r="BT60" i="1" s="1"/>
  <c r="AR60" i="1"/>
  <c r="AQ60" i="1"/>
  <c r="AP60" i="1"/>
  <c r="AO60" i="1"/>
  <c r="AN60" i="1"/>
  <c r="BU59" i="1"/>
  <c r="AY59" i="1"/>
  <c r="AX59" i="1"/>
  <c r="AW59" i="1"/>
  <c r="AV59" i="1"/>
  <c r="AU59" i="1"/>
  <c r="AT59" i="1"/>
  <c r="AS59" i="1"/>
  <c r="BN59" i="1" s="1"/>
  <c r="BT59" i="1" s="1"/>
  <c r="AR59" i="1"/>
  <c r="AQ59" i="1"/>
  <c r="AP59" i="1"/>
  <c r="AO59" i="1"/>
  <c r="AN59" i="1"/>
  <c r="BU58" i="1"/>
  <c r="AY58" i="1"/>
  <c r="AX58" i="1"/>
  <c r="AW58" i="1"/>
  <c r="AV58" i="1"/>
  <c r="AU58" i="1"/>
  <c r="AT58" i="1"/>
  <c r="AS58" i="1"/>
  <c r="BN58" i="1" s="1"/>
  <c r="BT58" i="1" s="1"/>
  <c r="AR58" i="1"/>
  <c r="AQ58" i="1"/>
  <c r="AP58" i="1"/>
  <c r="AO58" i="1"/>
  <c r="AN58" i="1"/>
  <c r="BU57" i="1"/>
  <c r="AY57" i="1"/>
  <c r="AX57" i="1"/>
  <c r="AW57" i="1"/>
  <c r="AV57" i="1"/>
  <c r="AU57" i="1"/>
  <c r="AT57" i="1"/>
  <c r="AS57" i="1"/>
  <c r="BN57" i="1" s="1"/>
  <c r="BT57" i="1" s="1"/>
  <c r="AR57" i="1"/>
  <c r="AQ57" i="1"/>
  <c r="AP57" i="1"/>
  <c r="AO57" i="1"/>
  <c r="AN57" i="1"/>
  <c r="BU56" i="1"/>
  <c r="AY56" i="1"/>
  <c r="AX56" i="1"/>
  <c r="AW56" i="1"/>
  <c r="AV56" i="1"/>
  <c r="AU56" i="1"/>
  <c r="AT56" i="1"/>
  <c r="AS56" i="1"/>
  <c r="BN56" i="1" s="1"/>
  <c r="BT56" i="1" s="1"/>
  <c r="AR56" i="1"/>
  <c r="AQ56" i="1"/>
  <c r="AP56" i="1"/>
  <c r="AO56" i="1"/>
  <c r="AN56" i="1"/>
  <c r="BU55" i="1"/>
  <c r="AY55" i="1"/>
  <c r="AX55" i="1"/>
  <c r="AW55" i="1"/>
  <c r="AV55" i="1"/>
  <c r="AU55" i="1"/>
  <c r="AT55" i="1"/>
  <c r="AS55" i="1"/>
  <c r="BN55" i="1" s="1"/>
  <c r="BT55" i="1" s="1"/>
  <c r="AR55" i="1"/>
  <c r="AQ55" i="1"/>
  <c r="AP55" i="1"/>
  <c r="AO55" i="1"/>
  <c r="AN55" i="1"/>
  <c r="BU54" i="1"/>
  <c r="AY54" i="1"/>
  <c r="AX54" i="1"/>
  <c r="AW54" i="1"/>
  <c r="AV54" i="1"/>
  <c r="AU54" i="1"/>
  <c r="AT54" i="1"/>
  <c r="AS54" i="1"/>
  <c r="BN54" i="1" s="1"/>
  <c r="BT54" i="1" s="1"/>
  <c r="AR54" i="1"/>
  <c r="AQ54" i="1"/>
  <c r="AP54" i="1"/>
  <c r="AO54" i="1"/>
  <c r="AN54" i="1"/>
  <c r="BU53" i="1"/>
  <c r="AY53" i="1"/>
  <c r="AX53" i="1"/>
  <c r="AW53" i="1"/>
  <c r="AV53" i="1"/>
  <c r="AU53" i="1"/>
  <c r="AT53" i="1"/>
  <c r="AS53" i="1"/>
  <c r="BN53" i="1" s="1"/>
  <c r="BT53" i="1" s="1"/>
  <c r="AR53" i="1"/>
  <c r="AQ53" i="1"/>
  <c r="AP53" i="1"/>
  <c r="AO53" i="1"/>
  <c r="AN53" i="1"/>
  <c r="BU52" i="1"/>
  <c r="AY52" i="1"/>
  <c r="AX52" i="1"/>
  <c r="AW52" i="1"/>
  <c r="AV52" i="1"/>
  <c r="AU52" i="1"/>
  <c r="AT52" i="1"/>
  <c r="AS52" i="1"/>
  <c r="BN52" i="1" s="1"/>
  <c r="BT52" i="1" s="1"/>
  <c r="AR52" i="1"/>
  <c r="AQ52" i="1"/>
  <c r="AP52" i="1"/>
  <c r="AO52" i="1"/>
  <c r="AN52" i="1"/>
  <c r="BU51" i="1"/>
  <c r="AY51" i="1"/>
  <c r="AX51" i="1"/>
  <c r="AW51" i="1"/>
  <c r="AV51" i="1"/>
  <c r="AU51" i="1"/>
  <c r="AT51" i="1"/>
  <c r="AS51" i="1"/>
  <c r="BN51" i="1" s="1"/>
  <c r="BT51" i="1" s="1"/>
  <c r="AR51" i="1"/>
  <c r="AQ51" i="1"/>
  <c r="AP51" i="1"/>
  <c r="AO51" i="1"/>
  <c r="AN51" i="1"/>
  <c r="BU50" i="1"/>
  <c r="AY50" i="1"/>
  <c r="AX50" i="1"/>
  <c r="AW50" i="1"/>
  <c r="AV50" i="1"/>
  <c r="AU50" i="1"/>
  <c r="AT50" i="1"/>
  <c r="AS50" i="1"/>
  <c r="BN50" i="1" s="1"/>
  <c r="BT50" i="1" s="1"/>
  <c r="AR50" i="1"/>
  <c r="AQ50" i="1"/>
  <c r="AP50" i="1"/>
  <c r="AO50" i="1"/>
  <c r="AN50" i="1"/>
  <c r="BU49" i="1"/>
  <c r="AY49" i="1"/>
  <c r="AX49" i="1"/>
  <c r="AW49" i="1"/>
  <c r="AV49" i="1"/>
  <c r="AU49" i="1"/>
  <c r="AT49" i="1"/>
  <c r="AS49" i="1"/>
  <c r="BN49" i="1" s="1"/>
  <c r="BT49" i="1" s="1"/>
  <c r="AR49" i="1"/>
  <c r="AQ49" i="1"/>
  <c r="AP49" i="1"/>
  <c r="AO49" i="1"/>
  <c r="AN49" i="1"/>
  <c r="BU48" i="1"/>
  <c r="AY48" i="1"/>
  <c r="AX48" i="1"/>
  <c r="AW48" i="1"/>
  <c r="AV48" i="1"/>
  <c r="AU48" i="1"/>
  <c r="AT48" i="1"/>
  <c r="AS48" i="1"/>
  <c r="BN48" i="1" s="1"/>
  <c r="BT48" i="1" s="1"/>
  <c r="AR48" i="1"/>
  <c r="AQ48" i="1"/>
  <c r="AP48" i="1"/>
  <c r="AO48" i="1"/>
  <c r="AN48" i="1"/>
  <c r="BU47" i="1"/>
  <c r="AY47" i="1"/>
  <c r="AX47" i="1"/>
  <c r="AW47" i="1"/>
  <c r="AV47" i="1"/>
  <c r="AU47" i="1"/>
  <c r="AT47" i="1"/>
  <c r="AS47" i="1"/>
  <c r="BN47" i="1" s="1"/>
  <c r="BT47" i="1" s="1"/>
  <c r="AR47" i="1"/>
  <c r="AQ47" i="1"/>
  <c r="AP47" i="1"/>
  <c r="AO47" i="1"/>
  <c r="AN47" i="1"/>
  <c r="BU46" i="1"/>
  <c r="AY46" i="1"/>
  <c r="AX46" i="1"/>
  <c r="AW46" i="1"/>
  <c r="AV46" i="1"/>
  <c r="AU46" i="1"/>
  <c r="AT46" i="1"/>
  <c r="AS46" i="1"/>
  <c r="BN46" i="1" s="1"/>
  <c r="BT46" i="1" s="1"/>
  <c r="AR46" i="1"/>
  <c r="AQ46" i="1"/>
  <c r="AP46" i="1"/>
  <c r="AO46" i="1"/>
  <c r="AN46" i="1"/>
  <c r="BU45" i="1"/>
  <c r="AY45" i="1"/>
  <c r="AX45" i="1"/>
  <c r="AW45" i="1"/>
  <c r="AV45" i="1"/>
  <c r="AU45" i="1"/>
  <c r="AT45" i="1"/>
  <c r="AS45" i="1"/>
  <c r="BN45" i="1" s="1"/>
  <c r="BT45" i="1" s="1"/>
  <c r="AR45" i="1"/>
  <c r="AQ45" i="1"/>
  <c r="AP45" i="1"/>
  <c r="AO45" i="1"/>
  <c r="AN45" i="1"/>
  <c r="BU44" i="1"/>
  <c r="AY44" i="1"/>
  <c r="AX44" i="1"/>
  <c r="AW44" i="1"/>
  <c r="AV44" i="1"/>
  <c r="AU44" i="1"/>
  <c r="AT44" i="1"/>
  <c r="AS44" i="1"/>
  <c r="BN44" i="1" s="1"/>
  <c r="BT44" i="1" s="1"/>
  <c r="AR44" i="1"/>
  <c r="AQ44" i="1"/>
  <c r="AP44" i="1"/>
  <c r="AO44" i="1"/>
  <c r="AN44" i="1"/>
  <c r="BU43" i="1"/>
  <c r="AY43" i="1"/>
  <c r="AX43" i="1"/>
  <c r="AW43" i="1"/>
  <c r="AV43" i="1"/>
  <c r="AU43" i="1"/>
  <c r="AT43" i="1"/>
  <c r="AS43" i="1"/>
  <c r="BN43" i="1" s="1"/>
  <c r="BT43" i="1" s="1"/>
  <c r="AR43" i="1"/>
  <c r="AQ43" i="1"/>
  <c r="AP43" i="1"/>
  <c r="AO43" i="1"/>
  <c r="AN43" i="1"/>
  <c r="BU42" i="1"/>
  <c r="AY42" i="1"/>
  <c r="AX42" i="1"/>
  <c r="AW42" i="1"/>
  <c r="AV42" i="1"/>
  <c r="AU42" i="1"/>
  <c r="AT42" i="1"/>
  <c r="AS42" i="1"/>
  <c r="BN42" i="1" s="1"/>
  <c r="BT42" i="1" s="1"/>
  <c r="AR42" i="1"/>
  <c r="AQ42" i="1"/>
  <c r="AP42" i="1"/>
  <c r="AO42" i="1"/>
  <c r="AN42" i="1"/>
  <c r="BU41" i="1"/>
  <c r="AY41" i="1"/>
  <c r="AX41" i="1"/>
  <c r="AW41" i="1"/>
  <c r="AV41" i="1"/>
  <c r="AU41" i="1"/>
  <c r="AT41" i="1"/>
  <c r="AS41" i="1"/>
  <c r="BN41" i="1" s="1"/>
  <c r="BT41" i="1" s="1"/>
  <c r="AR41" i="1"/>
  <c r="AQ41" i="1"/>
  <c r="AP41" i="1"/>
  <c r="AO41" i="1"/>
  <c r="AN41" i="1"/>
  <c r="BU40" i="1"/>
  <c r="AY40" i="1"/>
  <c r="AX40" i="1"/>
  <c r="AW40" i="1"/>
  <c r="AV40" i="1"/>
  <c r="AU40" i="1"/>
  <c r="AT40" i="1"/>
  <c r="AS40" i="1"/>
  <c r="BN40" i="1" s="1"/>
  <c r="BT40" i="1" s="1"/>
  <c r="AR40" i="1"/>
  <c r="AQ40" i="1"/>
  <c r="AP40" i="1"/>
  <c r="AO40" i="1"/>
  <c r="AN40" i="1"/>
  <c r="BU39" i="1"/>
  <c r="AY39" i="1"/>
  <c r="AX39" i="1"/>
  <c r="AW39" i="1"/>
  <c r="AV39" i="1"/>
  <c r="AU39" i="1"/>
  <c r="AT39" i="1"/>
  <c r="AS39" i="1"/>
  <c r="BN39" i="1" s="1"/>
  <c r="BT39" i="1" s="1"/>
  <c r="AR39" i="1"/>
  <c r="AQ39" i="1"/>
  <c r="AP39" i="1"/>
  <c r="AO39" i="1"/>
  <c r="AN39" i="1"/>
  <c r="BU38" i="1"/>
  <c r="AY38" i="1"/>
  <c r="AX38" i="1"/>
  <c r="AW38" i="1"/>
  <c r="AV38" i="1"/>
  <c r="AU38" i="1"/>
  <c r="AT38" i="1"/>
  <c r="AS38" i="1"/>
  <c r="BN38" i="1" s="1"/>
  <c r="BT38" i="1" s="1"/>
  <c r="AR38" i="1"/>
  <c r="AQ38" i="1"/>
  <c r="AP38" i="1"/>
  <c r="AO38" i="1"/>
  <c r="AN38" i="1"/>
  <c r="BU37" i="1"/>
  <c r="AY37" i="1"/>
  <c r="AX37" i="1"/>
  <c r="AW37" i="1"/>
  <c r="AV37" i="1"/>
  <c r="AU37" i="1"/>
  <c r="AT37" i="1"/>
  <c r="AS37" i="1"/>
  <c r="BN37" i="1" s="1"/>
  <c r="BT37" i="1" s="1"/>
  <c r="AR37" i="1"/>
  <c r="AQ37" i="1"/>
  <c r="AP37" i="1"/>
  <c r="AO37" i="1"/>
  <c r="AN37" i="1"/>
  <c r="BU36" i="1"/>
  <c r="AY36" i="1"/>
  <c r="AX36" i="1"/>
  <c r="AW36" i="1"/>
  <c r="AV36" i="1"/>
  <c r="AU36" i="1"/>
  <c r="AT36" i="1"/>
  <c r="AS36" i="1"/>
  <c r="BN36" i="1" s="1"/>
  <c r="BT36" i="1" s="1"/>
  <c r="AR36" i="1"/>
  <c r="AQ36" i="1"/>
  <c r="AP36" i="1"/>
  <c r="AO36" i="1"/>
  <c r="AN36" i="1"/>
  <c r="BU35" i="1"/>
  <c r="AY35" i="1"/>
  <c r="AX35" i="1"/>
  <c r="AW35" i="1"/>
  <c r="AV35" i="1"/>
  <c r="AU35" i="1"/>
  <c r="AT35" i="1"/>
  <c r="AS35" i="1"/>
  <c r="BN35" i="1" s="1"/>
  <c r="BT35" i="1" s="1"/>
  <c r="AR35" i="1"/>
  <c r="AQ35" i="1"/>
  <c r="AP35" i="1"/>
  <c r="AO35" i="1"/>
  <c r="AN35" i="1"/>
  <c r="BU34" i="1"/>
  <c r="AY34" i="1"/>
  <c r="AX34" i="1"/>
  <c r="AW34" i="1"/>
  <c r="AV34" i="1"/>
  <c r="AU34" i="1"/>
  <c r="AT34" i="1"/>
  <c r="AS34" i="1"/>
  <c r="BN34" i="1" s="1"/>
  <c r="BT34" i="1" s="1"/>
  <c r="AR34" i="1"/>
  <c r="AQ34" i="1"/>
  <c r="AP34" i="1"/>
  <c r="AO34" i="1"/>
  <c r="AN34" i="1"/>
  <c r="BU33" i="1"/>
  <c r="AY33" i="1"/>
  <c r="AX33" i="1"/>
  <c r="AW33" i="1"/>
  <c r="AV33" i="1"/>
  <c r="AU33" i="1"/>
  <c r="AT33" i="1"/>
  <c r="AS33" i="1"/>
  <c r="BN33" i="1" s="1"/>
  <c r="BT33" i="1" s="1"/>
  <c r="AR33" i="1"/>
  <c r="AQ33" i="1"/>
  <c r="AP33" i="1"/>
  <c r="AO33" i="1"/>
  <c r="AN33" i="1"/>
  <c r="BU32" i="1"/>
  <c r="AY32" i="1"/>
  <c r="AX32" i="1"/>
  <c r="AW32" i="1"/>
  <c r="AV32" i="1"/>
  <c r="AU32" i="1"/>
  <c r="AT32" i="1"/>
  <c r="AS32" i="1"/>
  <c r="BN32" i="1" s="1"/>
  <c r="BT32" i="1" s="1"/>
  <c r="AR32" i="1"/>
  <c r="AQ32" i="1"/>
  <c r="AP32" i="1"/>
  <c r="AO32" i="1"/>
  <c r="AN32" i="1"/>
  <c r="BU31" i="1"/>
  <c r="AY31" i="1"/>
  <c r="AX31" i="1"/>
  <c r="AW31" i="1"/>
  <c r="AV31" i="1"/>
  <c r="AU31" i="1"/>
  <c r="AT31" i="1"/>
  <c r="AS31" i="1"/>
  <c r="BN31" i="1" s="1"/>
  <c r="BT31" i="1" s="1"/>
  <c r="AR31" i="1"/>
  <c r="AQ31" i="1"/>
  <c r="AP31" i="1"/>
  <c r="AO31" i="1"/>
  <c r="AN31" i="1"/>
  <c r="BU30" i="1"/>
  <c r="AY30" i="1"/>
  <c r="AX30" i="1"/>
  <c r="AW30" i="1"/>
  <c r="AV30" i="1"/>
  <c r="AU30" i="1"/>
  <c r="AT30" i="1"/>
  <c r="AS30" i="1"/>
  <c r="BN30" i="1" s="1"/>
  <c r="BT30" i="1" s="1"/>
  <c r="AR30" i="1"/>
  <c r="AQ30" i="1"/>
  <c r="AP30" i="1"/>
  <c r="AO30" i="1"/>
  <c r="AN30" i="1"/>
  <c r="BU29" i="1"/>
  <c r="AY29" i="1"/>
  <c r="AX29" i="1"/>
  <c r="AW29" i="1"/>
  <c r="AV29" i="1"/>
  <c r="AU29" i="1"/>
  <c r="AT29" i="1"/>
  <c r="AS29" i="1"/>
  <c r="BN29" i="1" s="1"/>
  <c r="BT29" i="1" s="1"/>
  <c r="AR29" i="1"/>
  <c r="AQ29" i="1"/>
  <c r="AP29" i="1"/>
  <c r="AO29" i="1"/>
  <c r="AN29" i="1"/>
  <c r="BU28" i="1"/>
  <c r="AY28" i="1"/>
  <c r="AX28" i="1"/>
  <c r="AW28" i="1"/>
  <c r="AV28" i="1"/>
  <c r="AU28" i="1"/>
  <c r="AT28" i="1"/>
  <c r="AS28" i="1"/>
  <c r="BN28" i="1" s="1"/>
  <c r="BT28" i="1" s="1"/>
  <c r="AR28" i="1"/>
  <c r="AQ28" i="1"/>
  <c r="AP28" i="1"/>
  <c r="AO28" i="1"/>
  <c r="AN28" i="1"/>
  <c r="BU27" i="1"/>
  <c r="AY27" i="1"/>
  <c r="AX27" i="1"/>
  <c r="AW27" i="1"/>
  <c r="AV27" i="1"/>
  <c r="AU27" i="1"/>
  <c r="AT27" i="1"/>
  <c r="AS27" i="1"/>
  <c r="BN27" i="1" s="1"/>
  <c r="BT27" i="1" s="1"/>
  <c r="AR27" i="1"/>
  <c r="AQ27" i="1"/>
  <c r="AP27" i="1"/>
  <c r="AO27" i="1"/>
  <c r="AN27" i="1"/>
  <c r="BU26" i="1"/>
  <c r="AY26" i="1"/>
  <c r="AX26" i="1"/>
  <c r="AW26" i="1"/>
  <c r="AV26" i="1"/>
  <c r="AU26" i="1"/>
  <c r="AT26" i="1"/>
  <c r="AS26" i="1"/>
  <c r="BN26" i="1" s="1"/>
  <c r="BT26" i="1" s="1"/>
  <c r="AR26" i="1"/>
  <c r="AQ26" i="1"/>
  <c r="AP26" i="1"/>
  <c r="AO26" i="1"/>
  <c r="AN26" i="1"/>
  <c r="BU25" i="1"/>
  <c r="AY25" i="1"/>
  <c r="AX25" i="1"/>
  <c r="AW25" i="1"/>
  <c r="AV25" i="1"/>
  <c r="AU25" i="1"/>
  <c r="AT25" i="1"/>
  <c r="AS25" i="1"/>
  <c r="BN25" i="1" s="1"/>
  <c r="BT25" i="1" s="1"/>
  <c r="AR25" i="1"/>
  <c r="AQ25" i="1"/>
  <c r="AP25" i="1"/>
  <c r="AO25" i="1"/>
  <c r="AN25" i="1"/>
  <c r="BU24" i="1"/>
  <c r="AY24" i="1"/>
  <c r="AX24" i="1"/>
  <c r="AW24" i="1"/>
  <c r="AV24" i="1"/>
  <c r="AU24" i="1"/>
  <c r="AT24" i="1"/>
  <c r="AS24" i="1"/>
  <c r="BN24" i="1" s="1"/>
  <c r="BT24" i="1" s="1"/>
  <c r="AR24" i="1"/>
  <c r="AQ24" i="1"/>
  <c r="AP24" i="1"/>
  <c r="AO24" i="1"/>
  <c r="AN24" i="1"/>
  <c r="BU23" i="1"/>
  <c r="AY23" i="1"/>
  <c r="AX23" i="1"/>
  <c r="AW23" i="1"/>
  <c r="AV23" i="1"/>
  <c r="AU23" i="1"/>
  <c r="AT23" i="1"/>
  <c r="AS23" i="1"/>
  <c r="BN23" i="1" s="1"/>
  <c r="BT23" i="1" s="1"/>
  <c r="AR23" i="1"/>
  <c r="AQ23" i="1"/>
  <c r="AP23" i="1"/>
  <c r="AO23" i="1"/>
  <c r="AN23" i="1"/>
  <c r="BU22" i="1"/>
  <c r="AY22" i="1"/>
  <c r="AX22" i="1"/>
  <c r="AW22" i="1"/>
  <c r="AV22" i="1"/>
  <c r="AU22" i="1"/>
  <c r="AT22" i="1"/>
  <c r="AS22" i="1"/>
  <c r="BN22" i="1" s="1"/>
  <c r="BT22" i="1" s="1"/>
  <c r="AR22" i="1"/>
  <c r="AQ22" i="1"/>
  <c r="AP22" i="1"/>
  <c r="AO22" i="1"/>
  <c r="AN22" i="1"/>
  <c r="BU21" i="1"/>
  <c r="AY21" i="1"/>
  <c r="AX21" i="1"/>
  <c r="AW21" i="1"/>
  <c r="AV21" i="1"/>
  <c r="AU21" i="1"/>
  <c r="AT21" i="1"/>
  <c r="AS21" i="1"/>
  <c r="BN21" i="1" s="1"/>
  <c r="BT21" i="1" s="1"/>
  <c r="AR21" i="1"/>
  <c r="AQ21" i="1"/>
  <c r="AP21" i="1"/>
  <c r="AO21" i="1"/>
  <c r="AN21" i="1"/>
  <c r="BU20" i="1"/>
  <c r="AY20" i="1"/>
  <c r="AX20" i="1"/>
  <c r="AW20" i="1"/>
  <c r="AV20" i="1"/>
  <c r="AU20" i="1"/>
  <c r="AT20" i="1"/>
  <c r="AS20" i="1"/>
  <c r="BN20" i="1" s="1"/>
  <c r="BT20" i="1" s="1"/>
  <c r="AR20" i="1"/>
  <c r="AQ20" i="1"/>
  <c r="AP20" i="1"/>
  <c r="AO20" i="1"/>
  <c r="AN20" i="1"/>
  <c r="BU19" i="1"/>
  <c r="AY19" i="1"/>
  <c r="AX19" i="1"/>
  <c r="AW19" i="1"/>
  <c r="AV19" i="1"/>
  <c r="AU19" i="1"/>
  <c r="AT19" i="1"/>
  <c r="AS19" i="1"/>
  <c r="BN19" i="1" s="1"/>
  <c r="BT19" i="1" s="1"/>
  <c r="AR19" i="1"/>
  <c r="AQ19" i="1"/>
  <c r="AP19" i="1"/>
  <c r="AO19" i="1"/>
  <c r="AN19" i="1"/>
  <c r="BU18" i="1"/>
  <c r="AY18" i="1"/>
  <c r="AX18" i="1"/>
  <c r="AW18" i="1"/>
  <c r="AV18" i="1"/>
  <c r="AU18" i="1"/>
  <c r="AT18" i="1"/>
  <c r="AS18" i="1"/>
  <c r="BN18" i="1" s="1"/>
  <c r="BT18" i="1" s="1"/>
  <c r="AR18" i="1"/>
  <c r="AQ18" i="1"/>
  <c r="AP18" i="1"/>
  <c r="AO18" i="1"/>
  <c r="AN18" i="1"/>
  <c r="BU17" i="1"/>
  <c r="AY17" i="1"/>
  <c r="AX17" i="1"/>
  <c r="AW17" i="1"/>
  <c r="AV17" i="1"/>
  <c r="AU17" i="1"/>
  <c r="AT17" i="1"/>
  <c r="AS17" i="1"/>
  <c r="BN17" i="1" s="1"/>
  <c r="BT17" i="1" s="1"/>
  <c r="AR17" i="1"/>
  <c r="AQ17" i="1"/>
  <c r="AP17" i="1"/>
  <c r="AO17" i="1"/>
  <c r="AN17" i="1"/>
  <c r="BU16" i="1"/>
  <c r="AY16" i="1"/>
  <c r="AX16" i="1"/>
  <c r="AW16" i="1"/>
  <c r="AV16" i="1"/>
  <c r="AU16" i="1"/>
  <c r="AT16" i="1"/>
  <c r="AS16" i="1"/>
  <c r="BN16" i="1" s="1"/>
  <c r="BT16" i="1" s="1"/>
  <c r="AR16" i="1"/>
  <c r="AQ16" i="1"/>
  <c r="AP16" i="1"/>
  <c r="AO16" i="1"/>
  <c r="AN16" i="1"/>
  <c r="BU15" i="1"/>
  <c r="AY15" i="1"/>
  <c r="AX15" i="1"/>
  <c r="AW15" i="1"/>
  <c r="AV15" i="1"/>
  <c r="AU15" i="1"/>
  <c r="AT15" i="1"/>
  <c r="AS15" i="1"/>
  <c r="BN15" i="1" s="1"/>
  <c r="BT15" i="1" s="1"/>
  <c r="AR15" i="1"/>
  <c r="AQ15" i="1"/>
  <c r="AP15" i="1"/>
  <c r="AO15" i="1"/>
  <c r="AN15" i="1"/>
  <c r="BU14" i="1"/>
  <c r="AY14" i="1"/>
  <c r="AX14" i="1"/>
  <c r="AW14" i="1"/>
  <c r="AV14" i="1"/>
  <c r="AU14" i="1"/>
  <c r="AT14" i="1"/>
  <c r="AS14" i="1"/>
  <c r="BN14" i="1" s="1"/>
  <c r="BT14" i="1" s="1"/>
  <c r="AR14" i="1"/>
  <c r="AQ14" i="1"/>
  <c r="AP14" i="1"/>
  <c r="AO14" i="1"/>
  <c r="AN14" i="1"/>
  <c r="BU13" i="1"/>
  <c r="AY13" i="1"/>
  <c r="AX13" i="1"/>
  <c r="AW13" i="1"/>
  <c r="AV13" i="1"/>
  <c r="AU13" i="1"/>
  <c r="AT13" i="1"/>
  <c r="AS13" i="1"/>
  <c r="BN13" i="1" s="1"/>
  <c r="BT13" i="1" s="1"/>
  <c r="AR13" i="1"/>
  <c r="AQ13" i="1"/>
  <c r="AP13" i="1"/>
  <c r="AO13" i="1"/>
  <c r="AN13" i="1"/>
  <c r="BU12" i="1"/>
  <c r="AY12" i="1"/>
  <c r="AX12" i="1"/>
  <c r="AW12" i="1"/>
  <c r="AV12" i="1"/>
  <c r="AU12" i="1"/>
  <c r="AT12" i="1"/>
  <c r="AS12" i="1"/>
  <c r="BN12" i="1" s="1"/>
  <c r="BT12" i="1" s="1"/>
  <c r="AR12" i="1"/>
  <c r="AQ12" i="1"/>
  <c r="AP12" i="1"/>
  <c r="AO12" i="1"/>
  <c r="AN12" i="1"/>
  <c r="BU11" i="1"/>
  <c r="AY11" i="1"/>
  <c r="AX11" i="1"/>
  <c r="AW11" i="1"/>
  <c r="AV11" i="1"/>
  <c r="AU11" i="1"/>
  <c r="AT11" i="1"/>
  <c r="AS11" i="1"/>
  <c r="BN11" i="1" s="1"/>
  <c r="BT11" i="1" s="1"/>
  <c r="AR11" i="1"/>
  <c r="AQ11" i="1"/>
  <c r="AP11" i="1"/>
  <c r="AO11" i="1"/>
  <c r="AN11" i="1"/>
  <c r="BU10" i="1"/>
  <c r="AY10" i="1"/>
  <c r="AX10" i="1"/>
  <c r="AW10" i="1"/>
  <c r="AV10" i="1"/>
  <c r="AU10" i="1"/>
  <c r="AT10" i="1"/>
  <c r="AS10" i="1"/>
  <c r="BN10" i="1" s="1"/>
  <c r="BT10" i="1" s="1"/>
  <c r="AR10" i="1"/>
  <c r="AQ10" i="1"/>
  <c r="AP10" i="1"/>
  <c r="AO10" i="1"/>
  <c r="AN10" i="1"/>
  <c r="BU9" i="1"/>
  <c r="AY9" i="1"/>
  <c r="AX9" i="1"/>
  <c r="AW9" i="1"/>
  <c r="AV9" i="1"/>
  <c r="AU9" i="1"/>
  <c r="AT9" i="1"/>
  <c r="AS9" i="1"/>
  <c r="BN9" i="1" s="1"/>
  <c r="BT9" i="1" s="1"/>
  <c r="AR9" i="1"/>
  <c r="AQ9" i="1"/>
  <c r="AP9" i="1"/>
  <c r="AO9" i="1"/>
  <c r="AN9" i="1"/>
  <c r="BU8" i="1"/>
  <c r="AY8" i="1"/>
  <c r="AX8" i="1"/>
  <c r="AW8" i="1"/>
  <c r="AV8" i="1"/>
  <c r="AU8" i="1"/>
  <c r="AT8" i="1"/>
  <c r="AS8" i="1"/>
  <c r="BN8" i="1" s="1"/>
  <c r="BT8" i="1" s="1"/>
  <c r="AR8" i="1"/>
  <c r="AQ8" i="1"/>
  <c r="AP8" i="1"/>
  <c r="AO8" i="1"/>
  <c r="AN8" i="1"/>
  <c r="BU7" i="1"/>
  <c r="AY7" i="1"/>
  <c r="AX7" i="1"/>
  <c r="AW7" i="1"/>
  <c r="AV7" i="1"/>
  <c r="AU7" i="1"/>
  <c r="AT7" i="1"/>
  <c r="AS7" i="1"/>
  <c r="BN7" i="1" s="1"/>
  <c r="BT7" i="1" s="1"/>
  <c r="AR7" i="1"/>
  <c r="AQ7" i="1"/>
  <c r="AP7" i="1"/>
  <c r="AO7" i="1"/>
  <c r="AN7" i="1"/>
  <c r="BU6" i="1"/>
  <c r="AY6" i="1"/>
  <c r="AX6" i="1"/>
  <c r="AW6" i="1"/>
  <c r="AV6" i="1"/>
  <c r="AU6" i="1"/>
  <c r="AT6" i="1"/>
  <c r="AS6" i="1"/>
  <c r="BN6" i="1" s="1"/>
  <c r="BT6" i="1" s="1"/>
  <c r="AR6" i="1"/>
  <c r="AQ6" i="1"/>
  <c r="AP6" i="1"/>
  <c r="AO6" i="1"/>
  <c r="AN6" i="1"/>
  <c r="BU5" i="1"/>
  <c r="AY5" i="1"/>
  <c r="AX5" i="1"/>
  <c r="AW5" i="1"/>
  <c r="AV5" i="1"/>
  <c r="AU5" i="1"/>
  <c r="AT5" i="1"/>
  <c r="AS5" i="1"/>
  <c r="BN5" i="1" s="1"/>
  <c r="BT5" i="1" s="1"/>
  <c r="AR5" i="1"/>
  <c r="AQ5" i="1"/>
  <c r="AP5" i="1"/>
  <c r="AO5" i="1"/>
  <c r="AN5" i="1"/>
  <c r="BU4" i="1"/>
  <c r="AY4" i="1"/>
  <c r="AX4" i="1"/>
  <c r="AW4" i="1"/>
  <c r="AV4" i="1"/>
  <c r="AU4" i="1"/>
  <c r="AT4" i="1"/>
  <c r="AS4" i="1"/>
  <c r="BN4" i="1" s="1"/>
  <c r="BT4" i="1" s="1"/>
  <c r="AR4" i="1"/>
  <c r="AQ4" i="1"/>
  <c r="AP4" i="1"/>
  <c r="AO4" i="1"/>
  <c r="AN4" i="1"/>
  <c r="BJ74" i="1" l="1"/>
  <c r="BP74" i="1" s="1"/>
  <c r="BJ79" i="1"/>
  <c r="BP79" i="1" s="1"/>
  <c r="BJ84" i="1"/>
  <c r="BP84" i="1" s="1"/>
  <c r="BJ19" i="1"/>
  <c r="BP19" i="1" s="1"/>
  <c r="BJ62" i="1"/>
  <c r="BP62" i="1" s="1"/>
  <c r="BJ17" i="1"/>
  <c r="BP17" i="1" s="1"/>
  <c r="BJ77" i="1"/>
  <c r="BP77" i="1" s="1"/>
  <c r="BJ68" i="1"/>
  <c r="BP68" i="1" s="1"/>
  <c r="BJ49" i="1"/>
  <c r="BP49" i="1" s="1"/>
  <c r="BJ11" i="1"/>
  <c r="BP11" i="1" s="1"/>
  <c r="BJ46" i="1"/>
  <c r="BP46" i="1" s="1"/>
  <c r="BJ70" i="1"/>
  <c r="BP70" i="1" s="1"/>
  <c r="BJ50" i="1"/>
  <c r="BP50" i="1" s="1"/>
  <c r="BJ20" i="1"/>
  <c r="BP20" i="1" s="1"/>
  <c r="BJ55" i="1"/>
  <c r="BP55" i="1" s="1"/>
  <c r="BJ67" i="1"/>
  <c r="BP67" i="1" s="1"/>
  <c r="BJ58" i="1"/>
  <c r="BP58" i="1" s="1"/>
  <c r="BJ14" i="1"/>
  <c r="BP14" i="1" s="1"/>
  <c r="BJ25" i="1"/>
  <c r="BP25" i="1" s="1"/>
  <c r="BJ37" i="1"/>
  <c r="BP37" i="1" s="1"/>
  <c r="BJ16" i="1"/>
  <c r="BP16" i="1" s="1"/>
  <c r="BJ27" i="1"/>
  <c r="BP27" i="1" s="1"/>
  <c r="BJ61" i="1"/>
  <c r="BP61" i="1" s="1"/>
  <c r="BJ44" i="1"/>
  <c r="BP44" i="1" s="1"/>
  <c r="BJ23" i="1"/>
  <c r="BP23" i="1" s="1"/>
  <c r="BJ34" i="1"/>
  <c r="BP34" i="1" s="1"/>
  <c r="BJ71" i="1"/>
  <c r="BP71" i="1" s="1"/>
  <c r="BJ59" i="1"/>
  <c r="BP59" i="1" s="1"/>
  <c r="BJ64" i="1"/>
  <c r="BP64" i="1" s="1"/>
  <c r="BJ73" i="1"/>
  <c r="BP73" i="1" s="1"/>
  <c r="BJ80" i="1"/>
  <c r="BP80" i="1" s="1"/>
  <c r="BJ83" i="1"/>
  <c r="BP83" i="1" s="1"/>
  <c r="BJ53" i="1"/>
  <c r="BP53" i="1" s="1"/>
  <c r="AZ34" i="1"/>
  <c r="BJ4" i="1"/>
  <c r="BP4" i="1" s="1"/>
  <c r="AZ25" i="1"/>
  <c r="BJ82" i="1"/>
  <c r="BP82" i="1" s="1"/>
  <c r="BJ76" i="1"/>
  <c r="BP76" i="1" s="1"/>
  <c r="BJ56" i="1"/>
  <c r="BP56" i="1" s="1"/>
  <c r="BJ47" i="1"/>
  <c r="BP47" i="1" s="1"/>
  <c r="BJ8" i="1"/>
  <c r="BK8" i="1" s="1"/>
  <c r="BQ8" i="1" s="1"/>
  <c r="BJ24" i="1"/>
  <c r="BP24" i="1" s="1"/>
  <c r="BA22" i="1"/>
  <c r="BC22" i="1" s="1"/>
  <c r="BJ52" i="1"/>
  <c r="BP52" i="1" s="1"/>
  <c r="BJ65" i="1"/>
  <c r="BP65" i="1" s="1"/>
  <c r="BA67" i="1"/>
  <c r="BC67" i="1" s="1"/>
  <c r="BA76" i="1"/>
  <c r="BC76" i="1" s="1"/>
  <c r="BA58" i="1"/>
  <c r="BC58" i="1" s="1"/>
  <c r="BJ29" i="1"/>
  <c r="BP29" i="1" s="1"/>
  <c r="AZ28" i="1"/>
  <c r="BJ5" i="1"/>
  <c r="BP5" i="1" s="1"/>
  <c r="BA11" i="1"/>
  <c r="BC11" i="1" s="1"/>
  <c r="BA61" i="1"/>
  <c r="BC61" i="1" s="1"/>
  <c r="BA52" i="1"/>
  <c r="BC52" i="1" s="1"/>
  <c r="BA70" i="1"/>
  <c r="BC70" i="1" s="1"/>
  <c r="BJ22" i="1"/>
  <c r="BP22" i="1" s="1"/>
  <c r="BA6" i="1"/>
  <c r="BC6" i="1" s="1"/>
  <c r="BA34" i="1"/>
  <c r="BC34" i="1" s="1"/>
  <c r="BA29" i="1"/>
  <c r="BC29" i="1" s="1"/>
  <c r="BA79" i="1"/>
  <c r="BC79" i="1" s="1"/>
  <c r="BA40" i="1"/>
  <c r="BC40" i="1" s="1"/>
  <c r="BJ43" i="1"/>
  <c r="BP43" i="1" s="1"/>
  <c r="BA73" i="1"/>
  <c r="BC73" i="1" s="1"/>
  <c r="AZ11" i="1"/>
  <c r="BA20" i="1"/>
  <c r="BC20" i="1" s="1"/>
  <c r="AZ41" i="1"/>
  <c r="AZ13" i="1"/>
  <c r="AZ19" i="1"/>
  <c r="BA27" i="1"/>
  <c r="BC27" i="1" s="1"/>
  <c r="AZ31" i="1"/>
  <c r="AZ37" i="1"/>
  <c r="BA17" i="1"/>
  <c r="BC17" i="1" s="1"/>
  <c r="BA8" i="1"/>
  <c r="BC8" i="1" s="1"/>
  <c r="AZ26" i="1"/>
  <c r="BA49" i="1"/>
  <c r="BC49" i="1" s="1"/>
  <c r="AZ58" i="1"/>
  <c r="BA24" i="1"/>
  <c r="BC24" i="1" s="1"/>
  <c r="BA37" i="1"/>
  <c r="BC37" i="1" s="1"/>
  <c r="BA44" i="1"/>
  <c r="BC44" i="1" s="1"/>
  <c r="BA55" i="1"/>
  <c r="BC55" i="1" s="1"/>
  <c r="BA64" i="1"/>
  <c r="BC64" i="1" s="1"/>
  <c r="AZ67" i="1"/>
  <c r="AZ76" i="1"/>
  <c r="AZ16" i="1"/>
  <c r="AZ23" i="1"/>
  <c r="BJ18" i="1"/>
  <c r="BA18" i="1"/>
  <c r="BC18" i="1" s="1"/>
  <c r="BA25" i="1"/>
  <c r="BC25" i="1" s="1"/>
  <c r="BA46" i="1"/>
  <c r="BC46" i="1" s="1"/>
  <c r="BA5" i="1"/>
  <c r="BC5" i="1" s="1"/>
  <c r="BA7" i="1"/>
  <c r="BC7" i="1" s="1"/>
  <c r="BJ7" i="1"/>
  <c r="BK7" i="1" s="1"/>
  <c r="BQ7" i="1" s="1"/>
  <c r="BA16" i="1"/>
  <c r="BC16" i="1" s="1"/>
  <c r="AZ40" i="1"/>
  <c r="AZ5" i="1"/>
  <c r="BJ6" i="1"/>
  <c r="BK6" i="1" s="1"/>
  <c r="BQ6" i="1" s="1"/>
  <c r="AZ4" i="1"/>
  <c r="BJ35" i="1"/>
  <c r="BP35" i="1" s="1"/>
  <c r="BA35" i="1"/>
  <c r="BC35" i="1" s="1"/>
  <c r="AZ17" i="1"/>
  <c r="AZ36" i="1"/>
  <c r="AZ8" i="1"/>
  <c r="AZ7" i="1"/>
  <c r="AZ46" i="1"/>
  <c r="BA10" i="1"/>
  <c r="BC10" i="1" s="1"/>
  <c r="BJ10" i="1"/>
  <c r="BP10" i="1" s="1"/>
  <c r="BA13" i="1"/>
  <c r="BC13" i="1" s="1"/>
  <c r="BJ13" i="1"/>
  <c r="BP13" i="1" s="1"/>
  <c r="BA19" i="1"/>
  <c r="BC19" i="1" s="1"/>
  <c r="BA23" i="1"/>
  <c r="BC23" i="1" s="1"/>
  <c r="AZ10" i="1"/>
  <c r="BA4" i="1"/>
  <c r="BC4" i="1" s="1"/>
  <c r="BA14" i="1"/>
  <c r="BC14" i="1" s="1"/>
  <c r="BJ21" i="1"/>
  <c r="BP21" i="1" s="1"/>
  <c r="BA21" i="1"/>
  <c r="BC21" i="1" s="1"/>
  <c r="BA26" i="1"/>
  <c r="BC26" i="1" s="1"/>
  <c r="BJ26" i="1"/>
  <c r="BP26" i="1" s="1"/>
  <c r="AZ29" i="1"/>
  <c r="BJ12" i="1"/>
  <c r="BA12" i="1"/>
  <c r="BC12" i="1" s="1"/>
  <c r="AZ14" i="1"/>
  <c r="AZ6" i="1"/>
  <c r="AZ9" i="1"/>
  <c r="BJ15" i="1"/>
  <c r="BK15" i="1" s="1"/>
  <c r="BQ15" i="1" s="1"/>
  <c r="BA15" i="1"/>
  <c r="BC15" i="1" s="1"/>
  <c r="AZ20" i="1"/>
  <c r="AZ22" i="1"/>
  <c r="BA41" i="1"/>
  <c r="BC41" i="1" s="1"/>
  <c r="BJ9" i="1"/>
  <c r="BA9" i="1"/>
  <c r="BC9" i="1" s="1"/>
  <c r="AZ38" i="1"/>
  <c r="AZ32" i="1"/>
  <c r="AZ39" i="1"/>
  <c r="BA48" i="1"/>
  <c r="BC48" i="1" s="1"/>
  <c r="BJ48" i="1"/>
  <c r="AZ27" i="1"/>
  <c r="BA32" i="1"/>
  <c r="BC32" i="1" s="1"/>
  <c r="BJ41" i="1"/>
  <c r="BP41" i="1" s="1"/>
  <c r="BA45" i="1"/>
  <c r="BC45" i="1" s="1"/>
  <c r="BJ45" i="1"/>
  <c r="BP45" i="1" s="1"/>
  <c r="AZ53" i="1"/>
  <c r="BA56" i="1"/>
  <c r="BC56" i="1" s="1"/>
  <c r="AZ60" i="1"/>
  <c r="AZ69" i="1"/>
  <c r="AZ78" i="1"/>
  <c r="BJ31" i="1"/>
  <c r="BP31" i="1" s="1"/>
  <c r="AZ33" i="1"/>
  <c r="BJ38" i="1"/>
  <c r="BP38" i="1" s="1"/>
  <c r="BA39" i="1"/>
  <c r="BC39" i="1" s="1"/>
  <c r="BJ39" i="1"/>
  <c r="BP39" i="1" s="1"/>
  <c r="BJ40" i="1"/>
  <c r="BP40" i="1" s="1"/>
  <c r="AZ50" i="1"/>
  <c r="AZ62" i="1"/>
  <c r="AZ71" i="1"/>
  <c r="AZ80" i="1"/>
  <c r="AZ47" i="1"/>
  <c r="BJ60" i="1"/>
  <c r="BP60" i="1" s="1"/>
  <c r="BA60" i="1"/>
  <c r="BC60" i="1" s="1"/>
  <c r="BJ69" i="1"/>
  <c r="BP69" i="1" s="1"/>
  <c r="BA69" i="1"/>
  <c r="BC69" i="1" s="1"/>
  <c r="BJ78" i="1"/>
  <c r="BP78" i="1" s="1"/>
  <c r="BA78" i="1"/>
  <c r="BC78" i="1" s="1"/>
  <c r="AZ82" i="1"/>
  <c r="AZ24" i="1"/>
  <c r="BJ32" i="1"/>
  <c r="BA33" i="1"/>
  <c r="BC33" i="1" s="1"/>
  <c r="BJ33" i="1"/>
  <c r="AZ44" i="1"/>
  <c r="BA53" i="1"/>
  <c r="BC53" i="1" s="1"/>
  <c r="AZ55" i="1"/>
  <c r="AZ64" i="1"/>
  <c r="AZ73" i="1"/>
  <c r="AZ12" i="1"/>
  <c r="AZ15" i="1"/>
  <c r="AZ18" i="1"/>
  <c r="AZ21" i="1"/>
  <c r="BA28" i="1"/>
  <c r="BC28" i="1" s="1"/>
  <c r="AZ35" i="1"/>
  <c r="BA50" i="1"/>
  <c r="BC50" i="1" s="1"/>
  <c r="AZ52" i="1"/>
  <c r="AZ57" i="1"/>
  <c r="BA62" i="1"/>
  <c r="BC62" i="1" s="1"/>
  <c r="AZ66" i="1"/>
  <c r="AZ75" i="1"/>
  <c r="BA47" i="1"/>
  <c r="BC47" i="1" s="1"/>
  <c r="AZ49" i="1"/>
  <c r="AZ59" i="1"/>
  <c r="AZ68" i="1"/>
  <c r="AZ77" i="1"/>
  <c r="BJ66" i="1"/>
  <c r="BP66" i="1" s="1"/>
  <c r="BA66" i="1"/>
  <c r="BC66" i="1" s="1"/>
  <c r="BJ75" i="1"/>
  <c r="BP75" i="1" s="1"/>
  <c r="BA75" i="1"/>
  <c r="BC75" i="1" s="1"/>
  <c r="BJ28" i="1"/>
  <c r="BP28" i="1" s="1"/>
  <c r="AZ43" i="1"/>
  <c r="AZ54" i="1"/>
  <c r="AZ61" i="1"/>
  <c r="AZ70" i="1"/>
  <c r="AZ79" i="1"/>
  <c r="BJ57" i="1"/>
  <c r="BP57" i="1" s="1"/>
  <c r="BA57" i="1"/>
  <c r="BC57" i="1" s="1"/>
  <c r="AZ30" i="1"/>
  <c r="BA36" i="1"/>
  <c r="BC36" i="1" s="1"/>
  <c r="BJ36" i="1"/>
  <c r="BK36" i="1" s="1"/>
  <c r="BQ36" i="1" s="1"/>
  <c r="AZ42" i="1"/>
  <c r="BA43" i="1"/>
  <c r="BC43" i="1" s="1"/>
  <c r="AZ51" i="1"/>
  <c r="BA59" i="1"/>
  <c r="BC59" i="1" s="1"/>
  <c r="AZ63" i="1"/>
  <c r="AZ72" i="1"/>
  <c r="AZ81" i="1"/>
  <c r="AZ48" i="1"/>
  <c r="BA54" i="1"/>
  <c r="BC54" i="1" s="1"/>
  <c r="BJ54" i="1"/>
  <c r="AZ56" i="1"/>
  <c r="AZ65" i="1"/>
  <c r="AZ74" i="1"/>
  <c r="BA30" i="1"/>
  <c r="BC30" i="1" s="1"/>
  <c r="BJ30" i="1"/>
  <c r="BA31" i="1"/>
  <c r="BC31" i="1" s="1"/>
  <c r="BA38" i="1"/>
  <c r="BC38" i="1" s="1"/>
  <c r="BA42" i="1"/>
  <c r="BC42" i="1" s="1"/>
  <c r="BJ42" i="1"/>
  <c r="AZ45" i="1"/>
  <c r="BA51" i="1"/>
  <c r="BC51" i="1" s="1"/>
  <c r="BJ51" i="1"/>
  <c r="BJ63" i="1"/>
  <c r="BP63" i="1" s="1"/>
  <c r="BA63" i="1"/>
  <c r="BC63" i="1" s="1"/>
  <c r="BJ72" i="1"/>
  <c r="BP72" i="1" s="1"/>
  <c r="BA72" i="1"/>
  <c r="BC72" i="1" s="1"/>
  <c r="BJ81" i="1"/>
  <c r="BP81" i="1" s="1"/>
  <c r="BA81" i="1"/>
  <c r="BC81" i="1" s="1"/>
  <c r="BA82" i="1"/>
  <c r="BC82" i="1" s="1"/>
  <c r="AZ83" i="1"/>
  <c r="BA65" i="1"/>
  <c r="BC65" i="1" s="1"/>
  <c r="BA68" i="1"/>
  <c r="BC68" i="1" s="1"/>
  <c r="BA71" i="1"/>
  <c r="BC71" i="1" s="1"/>
  <c r="BA74" i="1"/>
  <c r="BC74" i="1" s="1"/>
  <c r="BA77" i="1"/>
  <c r="BC77" i="1" s="1"/>
  <c r="BA80" i="1"/>
  <c r="BC80" i="1" s="1"/>
  <c r="BA83" i="1"/>
  <c r="BC83" i="1" s="1"/>
  <c r="AZ84" i="1"/>
  <c r="BA84" i="1"/>
  <c r="BC84" i="1" s="1"/>
  <c r="BK79" i="1" l="1"/>
  <c r="BQ79" i="1" s="1"/>
  <c r="BK84" i="1"/>
  <c r="BQ84" i="1" s="1"/>
  <c r="BK74" i="1"/>
  <c r="BQ74" i="1" s="1"/>
  <c r="BK11" i="1"/>
  <c r="BQ11" i="1" s="1"/>
  <c r="BK17" i="1"/>
  <c r="BQ17" i="1" s="1"/>
  <c r="BK62" i="1"/>
  <c r="BQ62" i="1" s="1"/>
  <c r="BK78" i="1"/>
  <c r="BQ78" i="1" s="1"/>
  <c r="BK70" i="1"/>
  <c r="BQ70" i="1" s="1"/>
  <c r="BK49" i="1"/>
  <c r="BQ49" i="1" s="1"/>
  <c r="BK77" i="1"/>
  <c r="BQ77" i="1" s="1"/>
  <c r="BK19" i="1"/>
  <c r="BQ19" i="1" s="1"/>
  <c r="BK68" i="1"/>
  <c r="BQ68" i="1" s="1"/>
  <c r="BK50" i="1"/>
  <c r="BQ50" i="1" s="1"/>
  <c r="BK67" i="1"/>
  <c r="BQ67" i="1" s="1"/>
  <c r="BK46" i="1"/>
  <c r="BQ46" i="1" s="1"/>
  <c r="BK47" i="1"/>
  <c r="BQ47" i="1" s="1"/>
  <c r="BK20" i="1"/>
  <c r="BK34" i="1"/>
  <c r="BQ34" i="1" s="1"/>
  <c r="BK58" i="1"/>
  <c r="BQ58" i="1" s="1"/>
  <c r="BK55" i="1"/>
  <c r="BQ55" i="1" s="1"/>
  <c r="BK44" i="1"/>
  <c r="BQ44" i="1" s="1"/>
  <c r="BK25" i="1"/>
  <c r="BL25" i="1" s="1"/>
  <c r="BR25" i="1" s="1"/>
  <c r="BK61" i="1"/>
  <c r="BQ61" i="1" s="1"/>
  <c r="BK37" i="1"/>
  <c r="BQ37" i="1" s="1"/>
  <c r="BK14" i="1"/>
  <c r="BQ14" i="1" s="1"/>
  <c r="BK52" i="1"/>
  <c r="BQ52" i="1" s="1"/>
  <c r="BK83" i="1"/>
  <c r="BQ83" i="1" s="1"/>
  <c r="BK80" i="1"/>
  <c r="BQ80" i="1" s="1"/>
  <c r="BK27" i="1"/>
  <c r="BL27" i="1" s="1"/>
  <c r="BK16" i="1"/>
  <c r="BQ16" i="1" s="1"/>
  <c r="BK23" i="1"/>
  <c r="BQ23" i="1" s="1"/>
  <c r="BK59" i="1"/>
  <c r="BQ59" i="1" s="1"/>
  <c r="BK82" i="1"/>
  <c r="BQ82" i="1" s="1"/>
  <c r="BK71" i="1"/>
  <c r="BQ71" i="1" s="1"/>
  <c r="BK64" i="1"/>
  <c r="BQ64" i="1" s="1"/>
  <c r="BK53" i="1"/>
  <c r="BQ53" i="1" s="1"/>
  <c r="BK73" i="1"/>
  <c r="BQ73" i="1" s="1"/>
  <c r="BK43" i="1"/>
  <c r="BK4" i="1"/>
  <c r="BQ4" i="1" s="1"/>
  <c r="BP8" i="1"/>
  <c r="BK76" i="1"/>
  <c r="BQ76" i="1" s="1"/>
  <c r="BK24" i="1"/>
  <c r="BQ24" i="1" s="1"/>
  <c r="BK56" i="1"/>
  <c r="BQ56" i="1" s="1"/>
  <c r="BK22" i="1"/>
  <c r="BQ22" i="1" s="1"/>
  <c r="BK29" i="1"/>
  <c r="BQ29" i="1" s="1"/>
  <c r="BK45" i="1"/>
  <c r="BQ45" i="1" s="1"/>
  <c r="BK65" i="1"/>
  <c r="BL65" i="1" s="1"/>
  <c r="BR65" i="1" s="1"/>
  <c r="BK69" i="1"/>
  <c r="BQ69" i="1" s="1"/>
  <c r="BK75" i="1"/>
  <c r="BQ75" i="1" s="1"/>
  <c r="BK13" i="1"/>
  <c r="BQ13" i="1" s="1"/>
  <c r="BK5" i="1"/>
  <c r="BK40" i="1"/>
  <c r="BQ40" i="1" s="1"/>
  <c r="BK39" i="1"/>
  <c r="BQ39" i="1" s="1"/>
  <c r="BK18" i="1"/>
  <c r="BQ18" i="1" s="1"/>
  <c r="BK31" i="1"/>
  <c r="BQ31" i="1" s="1"/>
  <c r="BK60" i="1"/>
  <c r="BQ60" i="1" s="1"/>
  <c r="BK63" i="1"/>
  <c r="BP48" i="1"/>
  <c r="BK48" i="1"/>
  <c r="BQ48" i="1" s="1"/>
  <c r="BK81" i="1"/>
  <c r="BL81" i="1" s="1"/>
  <c r="BR81" i="1" s="1"/>
  <c r="BP54" i="1"/>
  <c r="BK54" i="1"/>
  <c r="BK21" i="1"/>
  <c r="BQ21" i="1" s="1"/>
  <c r="BP32" i="1"/>
  <c r="BK57" i="1"/>
  <c r="BQ57" i="1" s="1"/>
  <c r="BK35" i="1"/>
  <c r="BQ35" i="1" s="1"/>
  <c r="BK28" i="1"/>
  <c r="BQ28" i="1" s="1"/>
  <c r="BP9" i="1"/>
  <c r="BP12" i="1"/>
  <c r="BP6" i="1"/>
  <c r="BK32" i="1"/>
  <c r="BK9" i="1"/>
  <c r="BQ9" i="1" s="1"/>
  <c r="BP15" i="1"/>
  <c r="BL15" i="1"/>
  <c r="BR15" i="1" s="1"/>
  <c r="BK12" i="1"/>
  <c r="BK72" i="1"/>
  <c r="BQ72" i="1" s="1"/>
  <c r="BL36" i="1"/>
  <c r="BR36" i="1" s="1"/>
  <c r="BP36" i="1"/>
  <c r="BK66" i="1"/>
  <c r="BQ66" i="1" s="1"/>
  <c r="BK10" i="1"/>
  <c r="BQ10" i="1" s="1"/>
  <c r="BL6" i="1"/>
  <c r="BR6" i="1" s="1"/>
  <c r="BP7" i="1"/>
  <c r="BK38" i="1"/>
  <c r="BL7" i="1"/>
  <c r="BR7" i="1" s="1"/>
  <c r="BP33" i="1"/>
  <c r="BK33" i="1"/>
  <c r="BQ33" i="1" s="1"/>
  <c r="BP42" i="1"/>
  <c r="BK42" i="1"/>
  <c r="BL42" i="1" s="1"/>
  <c r="BK41" i="1"/>
  <c r="BQ41" i="1" s="1"/>
  <c r="BP51" i="1"/>
  <c r="BK51" i="1"/>
  <c r="BP18" i="1"/>
  <c r="BP30" i="1"/>
  <c r="BK30" i="1"/>
  <c r="BQ30" i="1" s="1"/>
  <c r="BK26" i="1"/>
  <c r="BQ26" i="1" s="1"/>
  <c r="BL8" i="1"/>
  <c r="BR8" i="1" s="1"/>
  <c r="BL84" i="1" l="1"/>
  <c r="BR84" i="1" s="1"/>
  <c r="BL79" i="1"/>
  <c r="BR79" i="1" s="1"/>
  <c r="BL62" i="1"/>
  <c r="BR62" i="1" s="1"/>
  <c r="BL19" i="1"/>
  <c r="BR19" i="1" s="1"/>
  <c r="BL77" i="1"/>
  <c r="BR77" i="1" s="1"/>
  <c r="BL49" i="1"/>
  <c r="BR49" i="1" s="1"/>
  <c r="BL74" i="1"/>
  <c r="BR74" i="1" s="1"/>
  <c r="BL11" i="1"/>
  <c r="BR11" i="1" s="1"/>
  <c r="BL50" i="1"/>
  <c r="BR50" i="1" s="1"/>
  <c r="BL70" i="1"/>
  <c r="BR70" i="1" s="1"/>
  <c r="BL17" i="1"/>
  <c r="BR17" i="1" s="1"/>
  <c r="BL78" i="1"/>
  <c r="BR78" i="1" s="1"/>
  <c r="BL55" i="1"/>
  <c r="BR55" i="1" s="1"/>
  <c r="BL68" i="1"/>
  <c r="BR68" i="1" s="1"/>
  <c r="BL80" i="1"/>
  <c r="BM80" i="1" s="1"/>
  <c r="BS80" i="1" s="1"/>
  <c r="BL67" i="1"/>
  <c r="BM67" i="1" s="1"/>
  <c r="BS67" i="1" s="1"/>
  <c r="BM25" i="1"/>
  <c r="BS25" i="1" s="1"/>
  <c r="BL34" i="1"/>
  <c r="BM34" i="1" s="1"/>
  <c r="BS34" i="1" s="1"/>
  <c r="BL14" i="1"/>
  <c r="BM14" i="1" s="1"/>
  <c r="BS14" i="1" s="1"/>
  <c r="BL58" i="1"/>
  <c r="BR58" i="1" s="1"/>
  <c r="BL47" i="1"/>
  <c r="BR47" i="1" s="1"/>
  <c r="BL46" i="1"/>
  <c r="BR46" i="1" s="1"/>
  <c r="BL37" i="1"/>
  <c r="BR37" i="1" s="1"/>
  <c r="BQ25" i="1"/>
  <c r="BL61" i="1"/>
  <c r="BR61" i="1" s="1"/>
  <c r="BQ20" i="1"/>
  <c r="BL20" i="1"/>
  <c r="BQ27" i="1"/>
  <c r="BL16" i="1"/>
  <c r="BR16" i="1" s="1"/>
  <c r="BL44" i="1"/>
  <c r="BR44" i="1" s="1"/>
  <c r="BL23" i="1"/>
  <c r="BR23" i="1" s="1"/>
  <c r="BL52" i="1"/>
  <c r="BR52" i="1" s="1"/>
  <c r="BL45" i="1"/>
  <c r="BR45" i="1" s="1"/>
  <c r="BL59" i="1"/>
  <c r="BR59" i="1" s="1"/>
  <c r="BQ65" i="1"/>
  <c r="BL83" i="1"/>
  <c r="BR83" i="1" s="1"/>
  <c r="BL13" i="1"/>
  <c r="BR13" i="1" s="1"/>
  <c r="BL53" i="1"/>
  <c r="BR53" i="1" s="1"/>
  <c r="BL71" i="1"/>
  <c r="BR71" i="1" s="1"/>
  <c r="BL76" i="1"/>
  <c r="BR76" i="1" s="1"/>
  <c r="BL24" i="1"/>
  <c r="BR24" i="1" s="1"/>
  <c r="BL75" i="1"/>
  <c r="BR75" i="1" s="1"/>
  <c r="BL82" i="1"/>
  <c r="BR82" i="1" s="1"/>
  <c r="BL4" i="1"/>
  <c r="BR4" i="1" s="1"/>
  <c r="BL73" i="1"/>
  <c r="BR73" i="1" s="1"/>
  <c r="BL56" i="1"/>
  <c r="BR56" i="1" s="1"/>
  <c r="BL64" i="1"/>
  <c r="BR64" i="1" s="1"/>
  <c r="BL29" i="1"/>
  <c r="BM29" i="1" s="1"/>
  <c r="BS29" i="1" s="1"/>
  <c r="BL69" i="1"/>
  <c r="BR69" i="1" s="1"/>
  <c r="BL22" i="1"/>
  <c r="BR22" i="1" s="1"/>
  <c r="BQ43" i="1"/>
  <c r="BL43" i="1"/>
  <c r="BL39" i="1"/>
  <c r="BR39" i="1" s="1"/>
  <c r="BL40" i="1"/>
  <c r="BR40" i="1" s="1"/>
  <c r="BQ5" i="1"/>
  <c r="BL5" i="1"/>
  <c r="BL31" i="1"/>
  <c r="BR31" i="1" s="1"/>
  <c r="BL57" i="1"/>
  <c r="BR57" i="1" s="1"/>
  <c r="BM8" i="1"/>
  <c r="BS8" i="1" s="1"/>
  <c r="BM65" i="1"/>
  <c r="BS65" i="1" s="1"/>
  <c r="BL72" i="1"/>
  <c r="BR72" i="1" s="1"/>
  <c r="BM81" i="1"/>
  <c r="BS81" i="1" s="1"/>
  <c r="BR27" i="1"/>
  <c r="BL26" i="1"/>
  <c r="BR26" i="1" s="1"/>
  <c r="BL60" i="1"/>
  <c r="BR60" i="1" s="1"/>
  <c r="BL9" i="1"/>
  <c r="BR9" i="1" s="1"/>
  <c r="BQ63" i="1"/>
  <c r="BL63" i="1"/>
  <c r="BM63" i="1" s="1"/>
  <c r="BS63" i="1" s="1"/>
  <c r="BL66" i="1"/>
  <c r="BM27" i="1"/>
  <c r="BS27" i="1" s="1"/>
  <c r="BL18" i="1"/>
  <c r="BR42" i="1"/>
  <c r="BM42" i="1"/>
  <c r="BS42" i="1" s="1"/>
  <c r="BM36" i="1"/>
  <c r="BL48" i="1"/>
  <c r="BR48" i="1" s="1"/>
  <c r="BM6" i="1"/>
  <c r="BS6" i="1" s="1"/>
  <c r="BQ38" i="1"/>
  <c r="BL38" i="1"/>
  <c r="BQ54" i="1"/>
  <c r="BL54" i="1"/>
  <c r="BR54" i="1" s="1"/>
  <c r="BQ32" i="1"/>
  <c r="BL33" i="1"/>
  <c r="BL41" i="1"/>
  <c r="BR41" i="1" s="1"/>
  <c r="BQ12" i="1"/>
  <c r="BL32" i="1"/>
  <c r="BR32" i="1" s="1"/>
  <c r="BL12" i="1"/>
  <c r="BR12" i="1" s="1"/>
  <c r="BL35" i="1"/>
  <c r="BR35" i="1" s="1"/>
  <c r="BQ81" i="1"/>
  <c r="BQ51" i="1"/>
  <c r="BL51" i="1"/>
  <c r="BR51" i="1" s="1"/>
  <c r="BQ42" i="1"/>
  <c r="BM7" i="1"/>
  <c r="BL28" i="1"/>
  <c r="BL30" i="1"/>
  <c r="BR30" i="1" s="1"/>
  <c r="BL21" i="1"/>
  <c r="BR21" i="1" s="1"/>
  <c r="BL10" i="1"/>
  <c r="BR10" i="1" s="1"/>
  <c r="BM15" i="1"/>
  <c r="BM19" i="1" l="1"/>
  <c r="BS19" i="1" s="1"/>
  <c r="BM79" i="1"/>
  <c r="BS79" i="1" s="1"/>
  <c r="BM49" i="1"/>
  <c r="BS49" i="1" s="1"/>
  <c r="BM84" i="1"/>
  <c r="BS84" i="1" s="1"/>
  <c r="BM62" i="1"/>
  <c r="BS62" i="1" s="1"/>
  <c r="BM77" i="1"/>
  <c r="BS77" i="1" s="1"/>
  <c r="BM17" i="1"/>
  <c r="BS17" i="1" s="1"/>
  <c r="BM74" i="1"/>
  <c r="BS74" i="1" s="1"/>
  <c r="BM50" i="1"/>
  <c r="BS50" i="1" s="1"/>
  <c r="BM11" i="1"/>
  <c r="BS11" i="1" s="1"/>
  <c r="BM68" i="1"/>
  <c r="BS68" i="1" s="1"/>
  <c r="BM70" i="1"/>
  <c r="BS70" i="1" s="1"/>
  <c r="BO25" i="1"/>
  <c r="BB25" i="1" s="1"/>
  <c r="O25" i="5" s="1"/>
  <c r="Q25" i="5" s="1"/>
  <c r="R25" i="5" s="1"/>
  <c r="BM78" i="1"/>
  <c r="BS78" i="1" s="1"/>
  <c r="BR80" i="1"/>
  <c r="BO80" i="1"/>
  <c r="BB80" i="1" s="1"/>
  <c r="O81" i="5" s="1"/>
  <c r="Q81" i="5" s="1"/>
  <c r="R81" i="5" s="1"/>
  <c r="BM61" i="1"/>
  <c r="BS61" i="1" s="1"/>
  <c r="BM55" i="1"/>
  <c r="BS55" i="1" s="1"/>
  <c r="BR67" i="1"/>
  <c r="BR14" i="1"/>
  <c r="BM58" i="1"/>
  <c r="BS58" i="1" s="1"/>
  <c r="BR34" i="1"/>
  <c r="BM46" i="1"/>
  <c r="BS46" i="1" s="1"/>
  <c r="BM82" i="1"/>
  <c r="BS82" i="1" s="1"/>
  <c r="BM47" i="1"/>
  <c r="BS47" i="1" s="1"/>
  <c r="BM30" i="1"/>
  <c r="BS30" i="1" s="1"/>
  <c r="BM16" i="1"/>
  <c r="BS16" i="1" s="1"/>
  <c r="BM71" i="1"/>
  <c r="BO71" i="1" s="1"/>
  <c r="BB71" i="1" s="1"/>
  <c r="O30" i="5" s="1"/>
  <c r="Q30" i="5" s="1"/>
  <c r="BM76" i="1"/>
  <c r="BO76" i="1" s="1"/>
  <c r="BB76" i="1" s="1"/>
  <c r="O62" i="5" s="1"/>
  <c r="Q62" i="5" s="1"/>
  <c r="R62" i="5" s="1"/>
  <c r="BM44" i="1"/>
  <c r="BS44" i="1" s="1"/>
  <c r="BM37" i="1"/>
  <c r="BS37" i="1" s="1"/>
  <c r="BR20" i="1"/>
  <c r="BM20" i="1"/>
  <c r="BM23" i="1"/>
  <c r="BS23" i="1" s="1"/>
  <c r="BM83" i="1"/>
  <c r="BS83" i="1" s="1"/>
  <c r="BM52" i="1"/>
  <c r="BS52" i="1" s="1"/>
  <c r="BM53" i="1"/>
  <c r="BS53" i="1" s="1"/>
  <c r="BM75" i="1"/>
  <c r="BS75" i="1" s="1"/>
  <c r="BM59" i="1"/>
  <c r="BS59" i="1" s="1"/>
  <c r="BM73" i="1"/>
  <c r="BS73" i="1" s="1"/>
  <c r="BM57" i="1"/>
  <c r="BS57" i="1" s="1"/>
  <c r="BM4" i="1"/>
  <c r="BO4" i="1" s="1"/>
  <c r="BB4" i="1" s="1"/>
  <c r="BM45" i="1"/>
  <c r="BS45" i="1" s="1"/>
  <c r="BM13" i="1"/>
  <c r="BS13" i="1" s="1"/>
  <c r="BM22" i="1"/>
  <c r="BS22" i="1" s="1"/>
  <c r="BM69" i="1"/>
  <c r="BS69" i="1" s="1"/>
  <c r="BR29" i="1"/>
  <c r="BO42" i="1"/>
  <c r="BB42" i="1" s="1"/>
  <c r="O71" i="5" s="1"/>
  <c r="Q71" i="5" s="1"/>
  <c r="R71" i="5" s="1"/>
  <c r="BM56" i="1"/>
  <c r="BS56" i="1" s="1"/>
  <c r="BM72" i="1"/>
  <c r="BS72" i="1" s="1"/>
  <c r="BM24" i="1"/>
  <c r="BM64" i="1"/>
  <c r="BS64" i="1" s="1"/>
  <c r="BR43" i="1"/>
  <c r="BM43" i="1"/>
  <c r="BM40" i="1"/>
  <c r="BS40" i="1" s="1"/>
  <c r="BM39" i="1"/>
  <c r="BS39" i="1" s="1"/>
  <c r="BM31" i="1"/>
  <c r="BO31" i="1" s="1"/>
  <c r="BB31" i="1" s="1"/>
  <c r="O10" i="5" s="1"/>
  <c r="Q10" i="5" s="1"/>
  <c r="R10" i="5" s="1"/>
  <c r="BO84" i="1"/>
  <c r="BB84" i="1" s="1"/>
  <c r="O68" i="5" s="1"/>
  <c r="Q68" i="5" s="1"/>
  <c r="R68" i="5" s="1"/>
  <c r="BR5" i="1"/>
  <c r="BM5" i="1"/>
  <c r="BO8" i="1"/>
  <c r="BB8" i="1" s="1"/>
  <c r="O14" i="5" s="1"/>
  <c r="Q14" i="5" s="1"/>
  <c r="R14" i="5" s="1"/>
  <c r="BM12" i="1"/>
  <c r="BS12" i="1" s="1"/>
  <c r="BO65" i="1"/>
  <c r="BB65" i="1" s="1"/>
  <c r="O7" i="5" s="1"/>
  <c r="Q7" i="5" s="1"/>
  <c r="R7" i="5" s="1"/>
  <c r="BO81" i="1"/>
  <c r="BB81" i="1" s="1"/>
  <c r="O22" i="5" s="1"/>
  <c r="Q22" i="5" s="1"/>
  <c r="R22" i="5" s="1"/>
  <c r="BM21" i="1"/>
  <c r="BM9" i="1"/>
  <c r="BS9" i="1" s="1"/>
  <c r="BR18" i="1"/>
  <c r="BM18" i="1"/>
  <c r="BS18" i="1" s="1"/>
  <c r="BO27" i="1"/>
  <c r="BB27" i="1" s="1"/>
  <c r="O43" i="5" s="1"/>
  <c r="Q43" i="5" s="1"/>
  <c r="R43" i="5" s="1"/>
  <c r="BR66" i="1"/>
  <c r="BM66" i="1"/>
  <c r="BR63" i="1"/>
  <c r="BO63" i="1"/>
  <c r="BB63" i="1" s="1"/>
  <c r="O21" i="5" s="1"/>
  <c r="Q21" i="5" s="1"/>
  <c r="R21" i="5" s="1"/>
  <c r="BM60" i="1"/>
  <c r="BS60" i="1" s="1"/>
  <c r="BM26" i="1"/>
  <c r="BS26" i="1" s="1"/>
  <c r="BO34" i="1"/>
  <c r="BB34" i="1" s="1"/>
  <c r="O9" i="5" s="1"/>
  <c r="Q9" i="5" s="1"/>
  <c r="R9" i="5" s="1"/>
  <c r="BM32" i="1"/>
  <c r="BS32" i="1" s="1"/>
  <c r="BO14" i="1"/>
  <c r="BB14" i="1" s="1"/>
  <c r="O12" i="5" s="1"/>
  <c r="Q12" i="5" s="1"/>
  <c r="R12" i="5" s="1"/>
  <c r="BS7" i="1"/>
  <c r="BO7" i="1"/>
  <c r="BB7" i="1" s="1"/>
  <c r="O6" i="5" s="1"/>
  <c r="Q6" i="5" s="1"/>
  <c r="R6" i="5" s="1"/>
  <c r="BR38" i="1"/>
  <c r="BM38" i="1"/>
  <c r="BS38" i="1" s="1"/>
  <c r="BS36" i="1"/>
  <c r="BO36" i="1"/>
  <c r="BB36" i="1" s="1"/>
  <c r="O42" i="5" s="1"/>
  <c r="Q42" i="5" s="1"/>
  <c r="R42" i="5" s="1"/>
  <c r="BO6" i="1"/>
  <c r="BB6" i="1" s="1"/>
  <c r="O31" i="5" s="1"/>
  <c r="Q31" i="5" s="1"/>
  <c r="R31" i="5" s="1"/>
  <c r="BS15" i="1"/>
  <c r="BO15" i="1"/>
  <c r="BB15" i="1" s="1"/>
  <c r="O32" i="5" s="1"/>
  <c r="Q32" i="5" s="1"/>
  <c r="R32" i="5" s="1"/>
  <c r="BM35" i="1"/>
  <c r="BR33" i="1"/>
  <c r="BM33" i="1"/>
  <c r="BS33" i="1" s="1"/>
  <c r="BM54" i="1"/>
  <c r="BS54" i="1" s="1"/>
  <c r="BM10" i="1"/>
  <c r="BS10" i="1" s="1"/>
  <c r="BM48" i="1"/>
  <c r="BM41" i="1"/>
  <c r="BS41" i="1" s="1"/>
  <c r="BR28" i="1"/>
  <c r="BM28" i="1"/>
  <c r="BS28" i="1" s="1"/>
  <c r="BM51" i="1"/>
  <c r="BO67" i="1"/>
  <c r="BB67" i="1" s="1"/>
  <c r="O20" i="5" s="1"/>
  <c r="Q20" i="5" s="1"/>
  <c r="R20" i="5" s="1"/>
  <c r="BO29" i="1"/>
  <c r="BB29" i="1" s="1"/>
  <c r="O28" i="5" s="1"/>
  <c r="Q28" i="5" s="1"/>
  <c r="R28" i="5" s="1"/>
  <c r="V25" i="5" l="1"/>
  <c r="Y25" i="5" s="1"/>
  <c r="Z25" i="5"/>
  <c r="V81" i="5"/>
  <c r="Y81" i="5" s="1"/>
  <c r="Z81" i="5"/>
  <c r="S30" i="5"/>
  <c r="R30" i="5"/>
  <c r="V62" i="5"/>
  <c r="W62" i="5" s="1"/>
  <c r="Y62" i="5" s="1"/>
  <c r="Z62" i="5"/>
  <c r="O8" i="5"/>
  <c r="Q8" i="5" s="1"/>
  <c r="R8" i="5" s="1"/>
  <c r="Z71" i="5"/>
  <c r="V71" i="5"/>
  <c r="Y71" i="5" s="1"/>
  <c r="Z10" i="5"/>
  <c r="V10" i="5"/>
  <c r="Y10" i="5" s="1"/>
  <c r="V68" i="5"/>
  <c r="Y68" i="5" s="1"/>
  <c r="Z68" i="5"/>
  <c r="V14" i="5"/>
  <c r="Y14" i="5" s="1"/>
  <c r="Z14" i="5"/>
  <c r="Z7" i="5"/>
  <c r="V7" i="5"/>
  <c r="Y7" i="5" s="1"/>
  <c r="Z22" i="5"/>
  <c r="V22" i="5"/>
  <c r="Y22" i="5" s="1"/>
  <c r="V43" i="5"/>
  <c r="Y43" i="5" s="1"/>
  <c r="Z43" i="5"/>
  <c r="Z21" i="5"/>
  <c r="V21" i="5"/>
  <c r="Y21" i="5" s="1"/>
  <c r="Z9" i="5"/>
  <c r="V9" i="5"/>
  <c r="Y9" i="5" s="1"/>
  <c r="Z12" i="5"/>
  <c r="V12" i="5"/>
  <c r="Y12" i="5" s="1"/>
  <c r="Z6" i="5"/>
  <c r="V6" i="5"/>
  <c r="Y6" i="5" s="1"/>
  <c r="V42" i="5"/>
  <c r="Y42" i="5" s="1"/>
  <c r="Z42" i="5"/>
  <c r="V31" i="5"/>
  <c r="Y31" i="5" s="1"/>
  <c r="Z31" i="5"/>
  <c r="V32" i="5"/>
  <c r="Y32" i="5" s="1"/>
  <c r="Z32" i="5"/>
  <c r="Z20" i="5"/>
  <c r="V20" i="5"/>
  <c r="Y20" i="5" s="1"/>
  <c r="Z28" i="5"/>
  <c r="V28" i="5"/>
  <c r="Y28" i="5" s="1"/>
  <c r="BO19" i="1"/>
  <c r="BB19" i="1" s="1"/>
  <c r="O48" i="5" s="1"/>
  <c r="Q48" i="5" s="1"/>
  <c r="R48" i="5" s="1"/>
  <c r="BO49" i="1"/>
  <c r="BB49" i="1" s="1"/>
  <c r="O46" i="5" s="1"/>
  <c r="Q46" i="5" s="1"/>
  <c r="R46" i="5" s="1"/>
  <c r="BO79" i="1"/>
  <c r="BB79" i="1" s="1"/>
  <c r="O4" i="5" s="1"/>
  <c r="Q4" i="5" s="1"/>
  <c r="R4" i="5" s="1"/>
  <c r="BO62" i="1"/>
  <c r="BB62" i="1" s="1"/>
  <c r="O40" i="5" s="1"/>
  <c r="Q40" i="5" s="1"/>
  <c r="R40" i="5" s="1"/>
  <c r="BO17" i="1"/>
  <c r="BB17" i="1" s="1"/>
  <c r="BO77" i="1"/>
  <c r="BB77" i="1" s="1"/>
  <c r="O55" i="5" s="1"/>
  <c r="Q55" i="5" s="1"/>
  <c r="R55" i="5" s="1"/>
  <c r="BO74" i="1"/>
  <c r="BB74" i="1" s="1"/>
  <c r="O77" i="5" s="1"/>
  <c r="Q77" i="5" s="1"/>
  <c r="R77" i="5" s="1"/>
  <c r="BO50" i="1"/>
  <c r="BB50" i="1" s="1"/>
  <c r="O52" i="5" s="1"/>
  <c r="Q52" i="5" s="1"/>
  <c r="R52" i="5" s="1"/>
  <c r="BO11" i="1"/>
  <c r="BB11" i="1" s="1"/>
  <c r="BO78" i="1"/>
  <c r="BB78" i="1" s="1"/>
  <c r="O3" i="5" s="1"/>
  <c r="Q3" i="5" s="1"/>
  <c r="R3" i="5" s="1"/>
  <c r="BO68" i="1"/>
  <c r="BB68" i="1" s="1"/>
  <c r="O26" i="5" s="1"/>
  <c r="Q26" i="5" s="1"/>
  <c r="R26" i="5" s="1"/>
  <c r="BO70" i="1"/>
  <c r="BB70" i="1" s="1"/>
  <c r="O34" i="5" s="1"/>
  <c r="Q34" i="5" s="1"/>
  <c r="BO58" i="1"/>
  <c r="BB58" i="1" s="1"/>
  <c r="O36" i="5" s="1"/>
  <c r="Q36" i="5" s="1"/>
  <c r="R36" i="5" s="1"/>
  <c r="BO61" i="1"/>
  <c r="BB61" i="1" s="1"/>
  <c r="O5" i="5" s="1"/>
  <c r="Q5" i="5" s="1"/>
  <c r="R5" i="5" s="1"/>
  <c r="BO30" i="1"/>
  <c r="BB30" i="1" s="1"/>
  <c r="O58" i="5" s="1"/>
  <c r="Q58" i="5" s="1"/>
  <c r="R58" i="5" s="1"/>
  <c r="BO47" i="1"/>
  <c r="BB47" i="1" s="1"/>
  <c r="O80" i="5" s="1"/>
  <c r="Q80" i="5" s="1"/>
  <c r="R80" i="5" s="1"/>
  <c r="BO55" i="1"/>
  <c r="BB55" i="1" s="1"/>
  <c r="O57" i="5" s="1"/>
  <c r="Q57" i="5" s="1"/>
  <c r="R57" i="5" s="1"/>
  <c r="BO82" i="1"/>
  <c r="BB82" i="1" s="1"/>
  <c r="O17" i="5" s="1"/>
  <c r="Q17" i="5" s="1"/>
  <c r="R17" i="5" s="1"/>
  <c r="BS76" i="1"/>
  <c r="BO37" i="1"/>
  <c r="BB37" i="1" s="1"/>
  <c r="O56" i="5" s="1"/>
  <c r="Q56" i="5" s="1"/>
  <c r="R56" i="5" s="1"/>
  <c r="BO16" i="1"/>
  <c r="BB16" i="1" s="1"/>
  <c r="O61" i="5" s="1"/>
  <c r="Q61" i="5" s="1"/>
  <c r="R61" i="5" s="1"/>
  <c r="BO46" i="1"/>
  <c r="BB46" i="1" s="1"/>
  <c r="O49" i="5" s="1"/>
  <c r="Q49" i="5" s="1"/>
  <c r="R49" i="5" s="1"/>
  <c r="BO44" i="1"/>
  <c r="BB44" i="1" s="1"/>
  <c r="O65" i="5" s="1"/>
  <c r="Q65" i="5" s="1"/>
  <c r="R65" i="5" s="1"/>
  <c r="BS71" i="1"/>
  <c r="BO23" i="1"/>
  <c r="BB23" i="1" s="1"/>
  <c r="O50" i="5" s="1"/>
  <c r="Q50" i="5" s="1"/>
  <c r="R50" i="5" s="1"/>
  <c r="BO53" i="1"/>
  <c r="BB53" i="1" s="1"/>
  <c r="O66" i="5" s="1"/>
  <c r="Q66" i="5" s="1"/>
  <c r="R66" i="5" s="1"/>
  <c r="BO83" i="1"/>
  <c r="BB83" i="1" s="1"/>
  <c r="O79" i="5" s="1"/>
  <c r="Q79" i="5" s="1"/>
  <c r="R79" i="5" s="1"/>
  <c r="BO56" i="1"/>
  <c r="BB56" i="1" s="1"/>
  <c r="O75" i="5" s="1"/>
  <c r="Q75" i="5" s="1"/>
  <c r="R75" i="5" s="1"/>
  <c r="BS4" i="1"/>
  <c r="BS20" i="1"/>
  <c r="BO20" i="1"/>
  <c r="BB20" i="1" s="1"/>
  <c r="O59" i="5" s="1"/>
  <c r="Q59" i="5" s="1"/>
  <c r="R59" i="5" s="1"/>
  <c r="BO52" i="1"/>
  <c r="BB52" i="1" s="1"/>
  <c r="O45" i="5" s="1"/>
  <c r="Q45" i="5" s="1"/>
  <c r="R45" i="5" s="1"/>
  <c r="BO75" i="1"/>
  <c r="BB75" i="1" s="1"/>
  <c r="O44" i="5" s="1"/>
  <c r="Q44" i="5" s="1"/>
  <c r="R44" i="5" s="1"/>
  <c r="BO45" i="1"/>
  <c r="BB45" i="1" s="1"/>
  <c r="O51" i="5" s="1"/>
  <c r="Q51" i="5" s="1"/>
  <c r="R51" i="5" s="1"/>
  <c r="BO33" i="1"/>
  <c r="BB33" i="1" s="1"/>
  <c r="O15" i="5" s="1"/>
  <c r="Q15" i="5" s="1"/>
  <c r="R15" i="5" s="1"/>
  <c r="BO13" i="1"/>
  <c r="BB13" i="1" s="1"/>
  <c r="O23" i="5" s="1"/>
  <c r="Q23" i="5" s="1"/>
  <c r="R23" i="5" s="1"/>
  <c r="BO57" i="1"/>
  <c r="BB57" i="1" s="1"/>
  <c r="O78" i="5" s="1"/>
  <c r="Q78" i="5" s="1"/>
  <c r="R78" i="5" s="1"/>
  <c r="BO59" i="1"/>
  <c r="BB59" i="1" s="1"/>
  <c r="O38" i="5" s="1"/>
  <c r="Q38" i="5" s="1"/>
  <c r="R38" i="5" s="1"/>
  <c r="BO73" i="1"/>
  <c r="BB73" i="1" s="1"/>
  <c r="O24" i="5" s="1"/>
  <c r="Q24" i="5" s="1"/>
  <c r="R24" i="5" s="1"/>
  <c r="BO12" i="1"/>
  <c r="BB12" i="1" s="1"/>
  <c r="O41" i="5" s="1"/>
  <c r="Q41" i="5" s="1"/>
  <c r="R41" i="5" s="1"/>
  <c r="BO69" i="1"/>
  <c r="BB69" i="1" s="1"/>
  <c r="O33" i="5" s="1"/>
  <c r="Q33" i="5" s="1"/>
  <c r="BO72" i="1"/>
  <c r="BB72" i="1" s="1"/>
  <c r="O18" i="5" s="1"/>
  <c r="Q18" i="5" s="1"/>
  <c r="R18" i="5" s="1"/>
  <c r="BO40" i="1"/>
  <c r="BB40" i="1" s="1"/>
  <c r="O74" i="5" s="1"/>
  <c r="Q74" i="5" s="1"/>
  <c r="R74" i="5" s="1"/>
  <c r="BO39" i="1"/>
  <c r="BB39" i="1" s="1"/>
  <c r="O73" i="5" s="1"/>
  <c r="Q73" i="5" s="1"/>
  <c r="R73" i="5" s="1"/>
  <c r="BS24" i="1"/>
  <c r="BO24" i="1"/>
  <c r="BB24" i="1" s="1"/>
  <c r="O54" i="5" s="1"/>
  <c r="Q54" i="5" s="1"/>
  <c r="BO22" i="1"/>
  <c r="BB22" i="1" s="1"/>
  <c r="O76" i="5" s="1"/>
  <c r="Q76" i="5" s="1"/>
  <c r="R76" i="5" s="1"/>
  <c r="BO64" i="1"/>
  <c r="BB64" i="1" s="1"/>
  <c r="O82" i="5" s="1"/>
  <c r="Q82" i="5" s="1"/>
  <c r="R82" i="5" s="1"/>
  <c r="BS31" i="1"/>
  <c r="BS43" i="1"/>
  <c r="BO43" i="1"/>
  <c r="BB43" i="1" s="1"/>
  <c r="O53" i="5" s="1"/>
  <c r="Q53" i="5" s="1"/>
  <c r="R53" i="5" s="1"/>
  <c r="BS5" i="1"/>
  <c r="BO5" i="1"/>
  <c r="BB5" i="1" s="1"/>
  <c r="O29" i="5" s="1"/>
  <c r="Q29" i="5" s="1"/>
  <c r="R29" i="5" s="1"/>
  <c r="BO10" i="1"/>
  <c r="BB10" i="1" s="1"/>
  <c r="O11" i="5" s="1"/>
  <c r="Q11" i="5" s="1"/>
  <c r="R11" i="5" s="1"/>
  <c r="BO9" i="1"/>
  <c r="BB9" i="1" s="1"/>
  <c r="O27" i="5" s="1"/>
  <c r="Q27" i="5" s="1"/>
  <c r="R27" i="5" s="1"/>
  <c r="BS21" i="1"/>
  <c r="BO21" i="1"/>
  <c r="BB21" i="1" s="1"/>
  <c r="O70" i="5" s="1"/>
  <c r="Q70" i="5" s="1"/>
  <c r="R70" i="5" s="1"/>
  <c r="BO26" i="1"/>
  <c r="BB26" i="1" s="1"/>
  <c r="O63" i="5" s="1"/>
  <c r="Q63" i="5" s="1"/>
  <c r="R63" i="5" s="1"/>
  <c r="BO60" i="1"/>
  <c r="BB60" i="1" s="1"/>
  <c r="O37" i="5" s="1"/>
  <c r="Q37" i="5" s="1"/>
  <c r="R37" i="5" s="1"/>
  <c r="BO32" i="1"/>
  <c r="BB32" i="1" s="1"/>
  <c r="O60" i="5" s="1"/>
  <c r="Q60" i="5" s="1"/>
  <c r="BO18" i="1"/>
  <c r="BB18" i="1" s="1"/>
  <c r="O19" i="5" s="1"/>
  <c r="Q19" i="5" s="1"/>
  <c r="R19" i="5" s="1"/>
  <c r="BS66" i="1"/>
  <c r="BO66" i="1"/>
  <c r="BB66" i="1" s="1"/>
  <c r="O13" i="5" s="1"/>
  <c r="Q13" i="5" s="1"/>
  <c r="R13" i="5" s="1"/>
  <c r="BO38" i="1"/>
  <c r="BB38" i="1" s="1"/>
  <c r="O69" i="5" s="1"/>
  <c r="Q69" i="5" s="1"/>
  <c r="R69" i="5" s="1"/>
  <c r="BO28" i="1"/>
  <c r="BB28" i="1" s="1"/>
  <c r="O16" i="5" s="1"/>
  <c r="Q16" i="5" s="1"/>
  <c r="R16" i="5" s="1"/>
  <c r="BS48" i="1"/>
  <c r="BO48" i="1"/>
  <c r="BB48" i="1" s="1"/>
  <c r="O47" i="5" s="1"/>
  <c r="Q47" i="5" s="1"/>
  <c r="R47" i="5" s="1"/>
  <c r="BS51" i="1"/>
  <c r="BO51" i="1"/>
  <c r="BB51" i="1" s="1"/>
  <c r="O64" i="5" s="1"/>
  <c r="Q64" i="5" s="1"/>
  <c r="R64" i="5" s="1"/>
  <c r="BO54" i="1"/>
  <c r="BB54" i="1" s="1"/>
  <c r="O67" i="5" s="1"/>
  <c r="Q67" i="5" s="1"/>
  <c r="R67" i="5" s="1"/>
  <c r="BS35" i="1"/>
  <c r="BO35" i="1"/>
  <c r="BB35" i="1" s="1"/>
  <c r="O35" i="5" s="1"/>
  <c r="Q35" i="5" s="1"/>
  <c r="R35" i="5" s="1"/>
  <c r="BO41" i="1"/>
  <c r="BB41" i="1" s="1"/>
  <c r="O72" i="5" s="1"/>
  <c r="Q72" i="5" s="1"/>
  <c r="R72" i="5" s="1"/>
  <c r="AK25" i="5" l="1"/>
  <c r="AD25" i="5"/>
  <c r="AG25" i="5"/>
  <c r="AA25" i="5"/>
  <c r="AB25" i="5"/>
  <c r="AD81" i="5"/>
  <c r="AG81" i="5"/>
  <c r="AK81" i="5"/>
  <c r="AA81" i="5"/>
  <c r="AB81" i="5"/>
  <c r="V30" i="5"/>
  <c r="W30" i="5" s="1"/>
  <c r="Y30" i="5" s="1"/>
  <c r="Z30" i="5"/>
  <c r="AG62" i="5"/>
  <c r="AK62" i="5"/>
  <c r="AD62" i="5"/>
  <c r="AB62" i="5"/>
  <c r="AA62" i="5"/>
  <c r="V8" i="5"/>
  <c r="Y8" i="5" s="1"/>
  <c r="Z8" i="5"/>
  <c r="AB71" i="5"/>
  <c r="AA71" i="5"/>
  <c r="AD71" i="5"/>
  <c r="AK71" i="5"/>
  <c r="AG71" i="5"/>
  <c r="AA10" i="5"/>
  <c r="AB10" i="5"/>
  <c r="AE10" i="5" s="1"/>
  <c r="AF10" i="5" s="1"/>
  <c r="AG10" i="5"/>
  <c r="AD10" i="5"/>
  <c r="AM10" i="5" s="1"/>
  <c r="AN10" i="5" s="1"/>
  <c r="AK10" i="5"/>
  <c r="AD68" i="5"/>
  <c r="AG68" i="5"/>
  <c r="AK68" i="5"/>
  <c r="AB68" i="5"/>
  <c r="AA68" i="5"/>
  <c r="AK14" i="5"/>
  <c r="AG14" i="5"/>
  <c r="AD14" i="5"/>
  <c r="AA14" i="5"/>
  <c r="AB14" i="5"/>
  <c r="AE14" i="5" s="1"/>
  <c r="AF14" i="5" s="1"/>
  <c r="AA7" i="5"/>
  <c r="AB7" i="5"/>
  <c r="AE7" i="5" s="1"/>
  <c r="AF7" i="5" s="1"/>
  <c r="AD7" i="5"/>
  <c r="AM7" i="5" s="1"/>
  <c r="AK7" i="5"/>
  <c r="AN7" i="5" s="1"/>
  <c r="AG7" i="5"/>
  <c r="AA22" i="5"/>
  <c r="AB22" i="5"/>
  <c r="AK22" i="5"/>
  <c r="AG22" i="5"/>
  <c r="AD22" i="5"/>
  <c r="AD43" i="5"/>
  <c r="AK43" i="5"/>
  <c r="AG43" i="5"/>
  <c r="AA43" i="5"/>
  <c r="AB43" i="5"/>
  <c r="AE43" i="5" s="1"/>
  <c r="AF43" i="5" s="1"/>
  <c r="AA21" i="5"/>
  <c r="AB21" i="5"/>
  <c r="AG21" i="5"/>
  <c r="AK21" i="5"/>
  <c r="AD21" i="5"/>
  <c r="AB9" i="5"/>
  <c r="AA9" i="5"/>
  <c r="AD9" i="5"/>
  <c r="AK9" i="5"/>
  <c r="AG9" i="5"/>
  <c r="AB12" i="5"/>
  <c r="AA12" i="5"/>
  <c r="AD12" i="5"/>
  <c r="AG12" i="5"/>
  <c r="AK12" i="5"/>
  <c r="AA6" i="5"/>
  <c r="AB6" i="5"/>
  <c r="AD6" i="5"/>
  <c r="AK6" i="5"/>
  <c r="AG6" i="5"/>
  <c r="AG42" i="5"/>
  <c r="AD42" i="5"/>
  <c r="AK42" i="5"/>
  <c r="AA42" i="5"/>
  <c r="AB42" i="5"/>
  <c r="AK31" i="5"/>
  <c r="AD31" i="5"/>
  <c r="AG31" i="5"/>
  <c r="AB31" i="5"/>
  <c r="AA31" i="5"/>
  <c r="AD32" i="5"/>
  <c r="AM32" i="5" s="1"/>
  <c r="AN32" i="5" s="1"/>
  <c r="AK32" i="5"/>
  <c r="AG32" i="5"/>
  <c r="AB32" i="5"/>
  <c r="AE32" i="5" s="1"/>
  <c r="AF32" i="5" s="1"/>
  <c r="AA32" i="5"/>
  <c r="AB20" i="5"/>
  <c r="AA20" i="5"/>
  <c r="AK20" i="5"/>
  <c r="AD20" i="5"/>
  <c r="AG20" i="5"/>
  <c r="AB28" i="5"/>
  <c r="AA28" i="5"/>
  <c r="AK28" i="5"/>
  <c r="AG28" i="5"/>
  <c r="AD28" i="5"/>
  <c r="V48" i="5"/>
  <c r="Y48" i="5" s="1"/>
  <c r="Z48" i="5"/>
  <c r="Z46" i="5"/>
  <c r="V46" i="5"/>
  <c r="Y46" i="5" s="1"/>
  <c r="V4" i="5"/>
  <c r="W4" i="5" s="1"/>
  <c r="Y4" i="5" s="1"/>
  <c r="Z4" i="5"/>
  <c r="V40" i="5"/>
  <c r="Y40" i="5" s="1"/>
  <c r="Z40" i="5"/>
  <c r="BB85" i="1"/>
  <c r="BB86" i="1" s="1"/>
  <c r="O39" i="5"/>
  <c r="Q39" i="5" s="1"/>
  <c r="Z55" i="5"/>
  <c r="V55" i="5"/>
  <c r="W55" i="5" s="1"/>
  <c r="Y55" i="5" s="1"/>
  <c r="V77" i="5"/>
  <c r="W77" i="5" s="1"/>
  <c r="Y77" i="5" s="1"/>
  <c r="Z77" i="5"/>
  <c r="V52" i="5"/>
  <c r="Y52" i="5" s="1"/>
  <c r="Z52" i="5"/>
  <c r="V3" i="5"/>
  <c r="Z3" i="5"/>
  <c r="Z26" i="5"/>
  <c r="V26" i="5"/>
  <c r="Y26" i="5" s="1"/>
  <c r="R34" i="5"/>
  <c r="S34" i="5"/>
  <c r="V36" i="5"/>
  <c r="Y36" i="5" s="1"/>
  <c r="Z36" i="5"/>
  <c r="Z5" i="5"/>
  <c r="V5" i="5"/>
  <c r="Y5" i="5" s="1"/>
  <c r="V58" i="5"/>
  <c r="Y58" i="5" s="1"/>
  <c r="Z58" i="5"/>
  <c r="V80" i="5"/>
  <c r="Y80" i="5" s="1"/>
  <c r="Z80" i="5"/>
  <c r="V57" i="5"/>
  <c r="Y57" i="5" s="1"/>
  <c r="Z57" i="5"/>
  <c r="Z17" i="5"/>
  <c r="V17" i="5"/>
  <c r="Y17" i="5" s="1"/>
  <c r="V56" i="5"/>
  <c r="Y56" i="5" s="1"/>
  <c r="Z56" i="5"/>
  <c r="V61" i="5"/>
  <c r="Y61" i="5" s="1"/>
  <c r="Z61" i="5"/>
  <c r="Z49" i="5"/>
  <c r="V49" i="5"/>
  <c r="Y49" i="5" s="1"/>
  <c r="V65" i="5"/>
  <c r="Y65" i="5" s="1"/>
  <c r="Z65" i="5"/>
  <c r="V50" i="5"/>
  <c r="Y50" i="5" s="1"/>
  <c r="Z50" i="5"/>
  <c r="Z66" i="5"/>
  <c r="V66" i="5"/>
  <c r="Y66" i="5" s="1"/>
  <c r="Z79" i="5"/>
  <c r="V79" i="5"/>
  <c r="Y79" i="5" s="1"/>
  <c r="V75" i="5"/>
  <c r="Y75" i="5" s="1"/>
  <c r="Z75" i="5"/>
  <c r="V59" i="5"/>
  <c r="Y59" i="5" s="1"/>
  <c r="Z59" i="5"/>
  <c r="V45" i="5"/>
  <c r="Y45" i="5" s="1"/>
  <c r="Z45" i="5"/>
  <c r="Z44" i="5"/>
  <c r="V44" i="5"/>
  <c r="V51" i="5"/>
  <c r="Y51" i="5" s="1"/>
  <c r="Z51" i="5"/>
  <c r="Z15" i="5"/>
  <c r="V15" i="5"/>
  <c r="Y15" i="5" s="1"/>
  <c r="V23" i="5"/>
  <c r="Y23" i="5" s="1"/>
  <c r="Z23" i="5"/>
  <c r="V78" i="5"/>
  <c r="Y78" i="5" s="1"/>
  <c r="Z78" i="5"/>
  <c r="Z38" i="5"/>
  <c r="V38" i="5"/>
  <c r="Y38" i="5" s="1"/>
  <c r="Z24" i="5"/>
  <c r="V24" i="5"/>
  <c r="V41" i="5"/>
  <c r="Y41" i="5" s="1"/>
  <c r="Z41" i="5"/>
  <c r="R33" i="5"/>
  <c r="S33" i="5"/>
  <c r="Z18" i="5"/>
  <c r="V18" i="5"/>
  <c r="W18" i="5" s="1"/>
  <c r="Y18" i="5" s="1"/>
  <c r="V74" i="5"/>
  <c r="Y74" i="5" s="1"/>
  <c r="Z74" i="5"/>
  <c r="V73" i="5"/>
  <c r="Y73" i="5" s="1"/>
  <c r="Z73" i="5"/>
  <c r="R54" i="5"/>
  <c r="S54" i="5"/>
  <c r="V76" i="5"/>
  <c r="Y76" i="5" s="1"/>
  <c r="Z76" i="5"/>
  <c r="Z82" i="5"/>
  <c r="V82" i="5"/>
  <c r="Y82" i="5" s="1"/>
  <c r="V53" i="5"/>
  <c r="Y53" i="5" s="1"/>
  <c r="Z53" i="5"/>
  <c r="V29" i="5"/>
  <c r="Y29" i="5" s="1"/>
  <c r="Z29" i="5"/>
  <c r="V11" i="5"/>
  <c r="Y11" i="5" s="1"/>
  <c r="Z11" i="5"/>
  <c r="Z27" i="5"/>
  <c r="V27" i="5"/>
  <c r="Y27" i="5" s="1"/>
  <c r="V70" i="5"/>
  <c r="Y70" i="5" s="1"/>
  <c r="Z70" i="5"/>
  <c r="Z63" i="5"/>
  <c r="V63" i="5"/>
  <c r="Y63" i="5" s="1"/>
  <c r="Z37" i="5"/>
  <c r="V37" i="5"/>
  <c r="Y37" i="5" s="1"/>
  <c r="R60" i="5"/>
  <c r="S60" i="5"/>
  <c r="Z19" i="5"/>
  <c r="V19" i="5"/>
  <c r="Y19" i="5" s="1"/>
  <c r="V13" i="5"/>
  <c r="Y13" i="5" s="1"/>
  <c r="Z13" i="5"/>
  <c r="V69" i="5"/>
  <c r="Y69" i="5" s="1"/>
  <c r="Z69" i="5"/>
  <c r="Z16" i="5"/>
  <c r="V16" i="5"/>
  <c r="Y16" i="5" s="1"/>
  <c r="Z47" i="5"/>
  <c r="V47" i="5"/>
  <c r="Y47" i="5" s="1"/>
  <c r="V64" i="5"/>
  <c r="Y64" i="5" s="1"/>
  <c r="Z64" i="5"/>
  <c r="V67" i="5"/>
  <c r="Y67" i="5" s="1"/>
  <c r="Z67" i="5"/>
  <c r="V35" i="5"/>
  <c r="Y35" i="5" s="1"/>
  <c r="Z35" i="5"/>
  <c r="V72" i="5"/>
  <c r="Y72" i="5" s="1"/>
  <c r="Z72" i="5"/>
  <c r="AM25" i="5" l="1"/>
  <c r="AN25" i="5" s="1"/>
  <c r="AE25" i="5"/>
  <c r="AF25" i="5" s="1"/>
  <c r="AM81" i="5"/>
  <c r="AN81" i="5" s="1"/>
  <c r="AE81" i="5"/>
  <c r="AF81" i="5" s="1"/>
  <c r="AD30" i="5"/>
  <c r="AG30" i="5"/>
  <c r="AK30" i="5"/>
  <c r="AA30" i="5"/>
  <c r="AB30" i="5"/>
  <c r="AM62" i="5"/>
  <c r="AN62" i="5" s="1"/>
  <c r="AE62" i="5"/>
  <c r="AF62" i="5" s="1"/>
  <c r="AK8" i="5"/>
  <c r="AD8" i="5"/>
  <c r="AG8" i="5"/>
  <c r="AB8" i="5"/>
  <c r="AA8" i="5"/>
  <c r="AM71" i="5"/>
  <c r="AN71" i="5" s="1"/>
  <c r="AE71" i="5"/>
  <c r="AF71" i="5" s="1"/>
  <c r="AM68" i="5"/>
  <c r="AN68" i="5" s="1"/>
  <c r="AE68" i="5"/>
  <c r="AF68" i="5" s="1"/>
  <c r="AE22" i="5"/>
  <c r="AF22" i="5" s="1"/>
  <c r="AM22" i="5"/>
  <c r="AN22" i="5" s="1"/>
  <c r="AE21" i="5"/>
  <c r="AF21" i="5" s="1"/>
  <c r="AM21" i="5"/>
  <c r="AN21" i="5" s="1"/>
  <c r="AE9" i="5"/>
  <c r="AF9" i="5" s="1"/>
  <c r="AM9" i="5"/>
  <c r="AN9" i="5" s="1"/>
  <c r="AM12" i="5"/>
  <c r="AN12" i="5" s="1"/>
  <c r="AE12" i="5"/>
  <c r="AF12" i="5" s="1"/>
  <c r="AE6" i="5"/>
  <c r="AF6" i="5" s="1"/>
  <c r="AM6" i="5"/>
  <c r="AN6" i="5" s="1"/>
  <c r="AM42" i="5"/>
  <c r="AN42" i="5" s="1"/>
  <c r="AE42" i="5"/>
  <c r="AF42" i="5" s="1"/>
  <c r="AM31" i="5"/>
  <c r="AN31" i="5" s="1"/>
  <c r="AE31" i="5"/>
  <c r="AF31" i="5" s="1"/>
  <c r="AE20" i="5"/>
  <c r="AF20" i="5" s="1"/>
  <c r="AM20" i="5"/>
  <c r="AN20" i="5" s="1"/>
  <c r="AE28" i="5"/>
  <c r="AF28" i="5" s="1"/>
  <c r="AM28" i="5"/>
  <c r="AN28" i="5" s="1"/>
  <c r="AD48" i="5"/>
  <c r="AK48" i="5"/>
  <c r="AG48" i="5"/>
  <c r="AB48" i="5"/>
  <c r="AA48" i="5"/>
  <c r="AA46" i="5"/>
  <c r="AB46" i="5"/>
  <c r="AG46" i="5"/>
  <c r="AD46" i="5"/>
  <c r="AK46" i="5"/>
  <c r="AG4" i="5"/>
  <c r="AK4" i="5"/>
  <c r="AN4" i="5" s="1"/>
  <c r="AD4" i="5"/>
  <c r="AM4" i="5" s="1"/>
  <c r="AA4" i="5"/>
  <c r="AB4" i="5"/>
  <c r="AE4" i="5" s="1"/>
  <c r="AF4" i="5" s="1"/>
  <c r="AK40" i="5"/>
  <c r="AD40" i="5"/>
  <c r="AG40" i="5"/>
  <c r="AA40" i="5"/>
  <c r="AB40" i="5"/>
  <c r="R39" i="5"/>
  <c r="S39" i="5"/>
  <c r="S84" i="5" s="1"/>
  <c r="AB55" i="5"/>
  <c r="AE55" i="5" s="1"/>
  <c r="AF55" i="5" s="1"/>
  <c r="AA55" i="5"/>
  <c r="AK55" i="5"/>
  <c r="AN55" i="5" s="1"/>
  <c r="AD55" i="5"/>
  <c r="AM55" i="5" s="1"/>
  <c r="AG55" i="5"/>
  <c r="AK77" i="5"/>
  <c r="AG77" i="5"/>
  <c r="AD77" i="5"/>
  <c r="AA77" i="5"/>
  <c r="AB77" i="5"/>
  <c r="AE77" i="5" s="1"/>
  <c r="AF77" i="5" s="1"/>
  <c r="AG52" i="5"/>
  <c r="AK52" i="5"/>
  <c r="AD52" i="5"/>
  <c r="AA52" i="5"/>
  <c r="AB52" i="5"/>
  <c r="W3" i="5"/>
  <c r="Y3" i="5" s="1"/>
  <c r="AA3" i="5"/>
  <c r="AB3" i="5"/>
  <c r="AB26" i="5"/>
  <c r="AA26" i="5"/>
  <c r="AD26" i="5"/>
  <c r="AG26" i="5"/>
  <c r="AK26" i="5"/>
  <c r="Z34" i="5"/>
  <c r="V34" i="5"/>
  <c r="Y34" i="5" s="1"/>
  <c r="AG36" i="5"/>
  <c r="AD36" i="5"/>
  <c r="AK36" i="5"/>
  <c r="AA36" i="5"/>
  <c r="AB36" i="5"/>
  <c r="AA5" i="5"/>
  <c r="AB5" i="5"/>
  <c r="AK5" i="5"/>
  <c r="AG5" i="5"/>
  <c r="AD5" i="5"/>
  <c r="AG58" i="5"/>
  <c r="AD58" i="5"/>
  <c r="AK58" i="5"/>
  <c r="AA58" i="5"/>
  <c r="AB58" i="5"/>
  <c r="AD80" i="5"/>
  <c r="AG80" i="5"/>
  <c r="AK80" i="5"/>
  <c r="AA80" i="5"/>
  <c r="AB80" i="5"/>
  <c r="AG57" i="5"/>
  <c r="AK57" i="5"/>
  <c r="AD57" i="5"/>
  <c r="AA57" i="5"/>
  <c r="AB57" i="5"/>
  <c r="AE57" i="5" s="1"/>
  <c r="AF57" i="5" s="1"/>
  <c r="AB17" i="5"/>
  <c r="AA17" i="5"/>
  <c r="AD17" i="5"/>
  <c r="AG17" i="5"/>
  <c r="AK17" i="5"/>
  <c r="AD56" i="5"/>
  <c r="AG56" i="5"/>
  <c r="AK56" i="5"/>
  <c r="AB56" i="5"/>
  <c r="AA56" i="5"/>
  <c r="AK61" i="5"/>
  <c r="AD61" i="5"/>
  <c r="AG61" i="5"/>
  <c r="AB61" i="5"/>
  <c r="AE61" i="5" s="1"/>
  <c r="AF61" i="5" s="1"/>
  <c r="AA61" i="5"/>
  <c r="AB49" i="5"/>
  <c r="AA49" i="5"/>
  <c r="AD49" i="5"/>
  <c r="AG49" i="5"/>
  <c r="AK49" i="5"/>
  <c r="AG65" i="5"/>
  <c r="AD65" i="5"/>
  <c r="AK65" i="5"/>
  <c r="AA65" i="5"/>
  <c r="AB65" i="5"/>
  <c r="AG50" i="5"/>
  <c r="AK50" i="5"/>
  <c r="AD50" i="5"/>
  <c r="AA50" i="5"/>
  <c r="AB50" i="5"/>
  <c r="AA66" i="5"/>
  <c r="AB66" i="5"/>
  <c r="AE66" i="5" s="1"/>
  <c r="AF66" i="5" s="1"/>
  <c r="AG66" i="5"/>
  <c r="AD66" i="5"/>
  <c r="AM66" i="5" s="1"/>
  <c r="AN66" i="5" s="1"/>
  <c r="AK66" i="5"/>
  <c r="AA79" i="5"/>
  <c r="AB79" i="5"/>
  <c r="AG79" i="5"/>
  <c r="AD79" i="5"/>
  <c r="AK79" i="5"/>
  <c r="AG75" i="5"/>
  <c r="AK75" i="5"/>
  <c r="AD75" i="5"/>
  <c r="AB75" i="5"/>
  <c r="AA75" i="5"/>
  <c r="AD59" i="5"/>
  <c r="AG59" i="5"/>
  <c r="AK59" i="5"/>
  <c r="AA59" i="5"/>
  <c r="AB59" i="5"/>
  <c r="AE59" i="5" s="1"/>
  <c r="AF59" i="5" s="1"/>
  <c r="AD45" i="5"/>
  <c r="AG45" i="5"/>
  <c r="AK45" i="5"/>
  <c r="AB45" i="5"/>
  <c r="AA45" i="5"/>
  <c r="AA44" i="5"/>
  <c r="AB44" i="5"/>
  <c r="W44" i="5"/>
  <c r="Y44" i="5" s="1"/>
  <c r="AG51" i="5"/>
  <c r="AD51" i="5"/>
  <c r="AK51" i="5"/>
  <c r="AA51" i="5"/>
  <c r="AB51" i="5"/>
  <c r="AA15" i="5"/>
  <c r="AB15" i="5"/>
  <c r="AK15" i="5"/>
  <c r="AG15" i="5"/>
  <c r="AD15" i="5"/>
  <c r="AD23" i="5"/>
  <c r="AG23" i="5"/>
  <c r="AK23" i="5"/>
  <c r="AB23" i="5"/>
  <c r="AA23" i="5"/>
  <c r="AG78" i="5"/>
  <c r="AK78" i="5"/>
  <c r="AD78" i="5"/>
  <c r="AA78" i="5"/>
  <c r="AB78" i="5"/>
  <c r="AE78" i="5" s="1"/>
  <c r="AF78" i="5" s="1"/>
  <c r="AA38" i="5"/>
  <c r="AB38" i="5"/>
  <c r="AG38" i="5"/>
  <c r="AK38" i="5"/>
  <c r="AD38" i="5"/>
  <c r="AB24" i="5"/>
  <c r="AA24" i="5"/>
  <c r="W24" i="5"/>
  <c r="Y24" i="5" s="1"/>
  <c r="AD41" i="5"/>
  <c r="AG41" i="5"/>
  <c r="AK41" i="5"/>
  <c r="AB41" i="5"/>
  <c r="AA41" i="5"/>
  <c r="V33" i="5"/>
  <c r="Z33" i="5"/>
  <c r="AB18" i="5"/>
  <c r="AE18" i="5" s="1"/>
  <c r="AF18" i="5" s="1"/>
  <c r="AA18" i="5"/>
  <c r="AG18" i="5"/>
  <c r="AK18" i="5"/>
  <c r="AN18" i="5" s="1"/>
  <c r="AD18" i="5"/>
  <c r="AM18" i="5" s="1"/>
  <c r="AK74" i="5"/>
  <c r="AD74" i="5"/>
  <c r="AG74" i="5"/>
  <c r="AB74" i="5"/>
  <c r="AE74" i="5" s="1"/>
  <c r="AF74" i="5" s="1"/>
  <c r="AA74" i="5"/>
  <c r="AK73" i="5"/>
  <c r="AD73" i="5"/>
  <c r="AG73" i="5"/>
  <c r="AB73" i="5"/>
  <c r="AE73" i="5" s="1"/>
  <c r="AF73" i="5" s="1"/>
  <c r="AA73" i="5"/>
  <c r="Z54" i="5"/>
  <c r="V54" i="5"/>
  <c r="Y54" i="5" s="1"/>
  <c r="AK76" i="5"/>
  <c r="AD76" i="5"/>
  <c r="AG76" i="5"/>
  <c r="AA76" i="5"/>
  <c r="AB76" i="5"/>
  <c r="AE76" i="5" s="1"/>
  <c r="AF76" i="5" s="1"/>
  <c r="AA82" i="5"/>
  <c r="AB82" i="5"/>
  <c r="AD82" i="5"/>
  <c r="AG82" i="5"/>
  <c r="AK82" i="5"/>
  <c r="AD53" i="5"/>
  <c r="AG53" i="5"/>
  <c r="AK53" i="5"/>
  <c r="AA53" i="5"/>
  <c r="AB53" i="5"/>
  <c r="AD29" i="5"/>
  <c r="AG29" i="5"/>
  <c r="AK29" i="5"/>
  <c r="AA29" i="5"/>
  <c r="AB29" i="5"/>
  <c r="AK11" i="5"/>
  <c r="AD11" i="5"/>
  <c r="AG11" i="5"/>
  <c r="AA11" i="5"/>
  <c r="AB11" i="5"/>
  <c r="AE11" i="5" s="1"/>
  <c r="AF11" i="5" s="1"/>
  <c r="AA27" i="5"/>
  <c r="AB27" i="5"/>
  <c r="AD27" i="5"/>
  <c r="AG27" i="5"/>
  <c r="AK27" i="5"/>
  <c r="AD70" i="5"/>
  <c r="AK70" i="5"/>
  <c r="AG70" i="5"/>
  <c r="AA70" i="5"/>
  <c r="AB70" i="5"/>
  <c r="AB63" i="5"/>
  <c r="AA63" i="5"/>
  <c r="AG63" i="5"/>
  <c r="AK63" i="5"/>
  <c r="AD63" i="5"/>
  <c r="AA37" i="5"/>
  <c r="AB37" i="5"/>
  <c r="AK37" i="5"/>
  <c r="AD37" i="5"/>
  <c r="AG37" i="5"/>
  <c r="V60" i="5"/>
  <c r="Y60" i="5" s="1"/>
  <c r="Z60" i="5"/>
  <c r="AA19" i="5"/>
  <c r="AB19" i="5"/>
  <c r="AE19" i="5" s="1"/>
  <c r="AF19" i="5" s="1"/>
  <c r="AD19" i="5"/>
  <c r="AM19" i="5" s="1"/>
  <c r="AG19" i="5"/>
  <c r="AK19" i="5"/>
  <c r="AD13" i="5"/>
  <c r="AK13" i="5"/>
  <c r="AG13" i="5"/>
  <c r="AB13" i="5"/>
  <c r="AA13" i="5"/>
  <c r="AD69" i="5"/>
  <c r="AG69" i="5"/>
  <c r="AK69" i="5"/>
  <c r="AA69" i="5"/>
  <c r="AB69" i="5"/>
  <c r="AB16" i="5"/>
  <c r="AA16" i="5"/>
  <c r="AK16" i="5"/>
  <c r="AD16" i="5"/>
  <c r="AG16" i="5"/>
  <c r="AA47" i="5"/>
  <c r="AB47" i="5"/>
  <c r="AG47" i="5"/>
  <c r="AK47" i="5"/>
  <c r="AD47" i="5"/>
  <c r="AG64" i="5"/>
  <c r="AK64" i="5"/>
  <c r="AD64" i="5"/>
  <c r="AA64" i="5"/>
  <c r="AB64" i="5"/>
  <c r="AD67" i="5"/>
  <c r="AG67" i="5"/>
  <c r="AK67" i="5"/>
  <c r="AA67" i="5"/>
  <c r="AB67" i="5"/>
  <c r="AG35" i="5"/>
  <c r="AD35" i="5"/>
  <c r="AK35" i="5"/>
  <c r="AA35" i="5"/>
  <c r="AB35" i="5"/>
  <c r="AD72" i="5"/>
  <c r="AG72" i="5"/>
  <c r="AK72" i="5"/>
  <c r="AB72" i="5"/>
  <c r="AA72" i="5"/>
  <c r="AM14" i="5"/>
  <c r="AN14" i="5" s="1"/>
  <c r="AM43" i="5"/>
  <c r="AN43" i="5" s="1"/>
  <c r="AM30" i="5" l="1"/>
  <c r="AN30" i="5" s="1"/>
  <c r="AE30" i="5"/>
  <c r="AF30" i="5" s="1"/>
  <c r="AE8" i="5"/>
  <c r="AF8" i="5" s="1"/>
  <c r="AM8" i="5"/>
  <c r="AN8" i="5" s="1"/>
  <c r="AM48" i="5"/>
  <c r="AN48" i="5" s="1"/>
  <c r="AE48" i="5"/>
  <c r="AF48" i="5" s="1"/>
  <c r="AE46" i="5"/>
  <c r="AF46" i="5" s="1"/>
  <c r="AM46" i="5"/>
  <c r="AN46" i="5" s="1"/>
  <c r="AE40" i="5"/>
  <c r="AF40" i="5" s="1"/>
  <c r="R84" i="5"/>
  <c r="Z39" i="5"/>
  <c r="V39" i="5"/>
  <c r="AE52" i="5"/>
  <c r="AF52" i="5" s="1"/>
  <c r="AM52" i="5"/>
  <c r="AN52" i="5" s="1"/>
  <c r="Y84" i="5"/>
  <c r="AK3" i="5"/>
  <c r="AN3" i="5" s="1"/>
  <c r="AD3" i="5"/>
  <c r="AG3" i="5"/>
  <c r="AM3" i="5"/>
  <c r="AE3" i="5"/>
  <c r="AE26" i="5"/>
  <c r="AF26" i="5" s="1"/>
  <c r="AM26" i="5"/>
  <c r="AN26" i="5" s="1"/>
  <c r="AB34" i="5"/>
  <c r="AA34" i="5"/>
  <c r="AD34" i="5"/>
  <c r="AG34" i="5"/>
  <c r="AK34" i="5"/>
  <c r="AE36" i="5"/>
  <c r="AF36" i="5" s="1"/>
  <c r="AM36" i="5"/>
  <c r="AN36" i="5" s="1"/>
  <c r="AE5" i="5"/>
  <c r="AF5" i="5" s="1"/>
  <c r="AM5" i="5"/>
  <c r="AN5" i="5" s="1"/>
  <c r="AE58" i="5"/>
  <c r="AF58" i="5" s="1"/>
  <c r="AM58" i="5"/>
  <c r="AN58" i="5" s="1"/>
  <c r="AM80" i="5"/>
  <c r="AN80" i="5" s="1"/>
  <c r="AE80" i="5"/>
  <c r="AF80" i="5" s="1"/>
  <c r="AM17" i="5"/>
  <c r="AN17" i="5" s="1"/>
  <c r="AE17" i="5"/>
  <c r="AF17" i="5" s="1"/>
  <c r="AE56" i="5"/>
  <c r="AF56" i="5" s="1"/>
  <c r="AM56" i="5"/>
  <c r="AN56" i="5" s="1"/>
  <c r="AM49" i="5"/>
  <c r="AN49" i="5" s="1"/>
  <c r="AE49" i="5"/>
  <c r="AF49" i="5" s="1"/>
  <c r="AM65" i="5"/>
  <c r="AN65" i="5" s="1"/>
  <c r="AE65" i="5"/>
  <c r="AF65" i="5" s="1"/>
  <c r="AE50" i="5"/>
  <c r="AF50" i="5" s="1"/>
  <c r="AM50" i="5"/>
  <c r="AN50" i="5" s="1"/>
  <c r="AE79" i="5"/>
  <c r="AF79" i="5" s="1"/>
  <c r="AM79" i="5"/>
  <c r="AN79" i="5" s="1"/>
  <c r="AE75" i="5"/>
  <c r="AF75" i="5" s="1"/>
  <c r="AM75" i="5"/>
  <c r="AN75" i="5" s="1"/>
  <c r="AM45" i="5"/>
  <c r="AN45" i="5" s="1"/>
  <c r="AE45" i="5"/>
  <c r="AF45" i="5" s="1"/>
  <c r="AE44" i="5"/>
  <c r="AF44" i="5" s="1"/>
  <c r="AG44" i="5"/>
  <c r="AK44" i="5"/>
  <c r="AD44" i="5"/>
  <c r="AM44" i="5" s="1"/>
  <c r="AN44" i="5" s="1"/>
  <c r="AE51" i="5"/>
  <c r="AF51" i="5" s="1"/>
  <c r="AM51" i="5"/>
  <c r="AN51" i="5" s="1"/>
  <c r="AM15" i="5"/>
  <c r="AN15" i="5" s="1"/>
  <c r="AE15" i="5"/>
  <c r="AF15" i="5" s="1"/>
  <c r="AM23" i="5"/>
  <c r="AN23" i="5" s="1"/>
  <c r="AE23" i="5"/>
  <c r="AF23" i="5" s="1"/>
  <c r="AM38" i="5"/>
  <c r="AN38" i="5" s="1"/>
  <c r="AE38" i="5"/>
  <c r="AF38" i="5" s="1"/>
  <c r="AE24" i="5"/>
  <c r="AF24" i="5" s="1"/>
  <c r="AD24" i="5"/>
  <c r="AM24" i="5" s="1"/>
  <c r="AN24" i="5" s="1"/>
  <c r="AG24" i="5"/>
  <c r="AK24" i="5"/>
  <c r="AM41" i="5"/>
  <c r="AN41" i="5" s="1"/>
  <c r="AE41" i="5"/>
  <c r="AF41" i="5" s="1"/>
  <c r="AA33" i="5"/>
  <c r="AB33" i="5"/>
  <c r="AA54" i="5"/>
  <c r="AB54" i="5"/>
  <c r="AK54" i="5"/>
  <c r="AD54" i="5"/>
  <c r="AG54" i="5"/>
  <c r="AE82" i="5"/>
  <c r="AF82" i="5" s="1"/>
  <c r="AM82" i="5"/>
  <c r="AN82" i="5" s="1"/>
  <c r="AE53" i="5"/>
  <c r="AF53" i="5" s="1"/>
  <c r="AM53" i="5"/>
  <c r="AN53" i="5" s="1"/>
  <c r="AE29" i="5"/>
  <c r="AF29" i="5" s="1"/>
  <c r="AM29" i="5"/>
  <c r="AN29" i="5" s="1"/>
  <c r="AE27" i="5"/>
  <c r="AF27" i="5" s="1"/>
  <c r="AM27" i="5"/>
  <c r="AN27" i="5" s="1"/>
  <c r="AE70" i="5"/>
  <c r="AF70" i="5" s="1"/>
  <c r="AM70" i="5"/>
  <c r="AN70" i="5" s="1"/>
  <c r="AE63" i="5"/>
  <c r="AF63" i="5" s="1"/>
  <c r="AM63" i="5"/>
  <c r="AN63" i="5" s="1"/>
  <c r="AM37" i="5"/>
  <c r="AN37" i="5" s="1"/>
  <c r="AE37" i="5"/>
  <c r="AF37" i="5" s="1"/>
  <c r="AD60" i="5"/>
  <c r="AG60" i="5"/>
  <c r="AK60" i="5"/>
  <c r="AB60" i="5"/>
  <c r="AA60" i="5"/>
  <c r="AE13" i="5"/>
  <c r="AF13" i="5" s="1"/>
  <c r="AM13" i="5"/>
  <c r="AN13" i="5" s="1"/>
  <c r="AM69" i="5"/>
  <c r="AN69" i="5" s="1"/>
  <c r="AE69" i="5"/>
  <c r="AF69" i="5" s="1"/>
  <c r="AE16" i="5"/>
  <c r="AF16" i="5" s="1"/>
  <c r="AM16" i="5"/>
  <c r="AN16" i="5" s="1"/>
  <c r="AM47" i="5"/>
  <c r="AN47" i="5" s="1"/>
  <c r="AE47" i="5"/>
  <c r="AF47" i="5" s="1"/>
  <c r="AE64" i="5"/>
  <c r="AF64" i="5" s="1"/>
  <c r="AM64" i="5"/>
  <c r="AN64" i="5" s="1"/>
  <c r="AM67" i="5"/>
  <c r="AN67" i="5" s="1"/>
  <c r="AE67" i="5"/>
  <c r="AF67" i="5" s="1"/>
  <c r="AE35" i="5"/>
  <c r="AF35" i="5" s="1"/>
  <c r="AM35" i="5"/>
  <c r="AN35" i="5" s="1"/>
  <c r="AE72" i="5"/>
  <c r="AF72" i="5" s="1"/>
  <c r="AM72" i="5"/>
  <c r="AN72" i="5" s="1"/>
  <c r="AM77" i="5"/>
  <c r="AN77" i="5" s="1"/>
  <c r="W84" i="5"/>
  <c r="AM59" i="5"/>
  <c r="AN59" i="5" s="1"/>
  <c r="AM78" i="5"/>
  <c r="AN78" i="5" s="1"/>
  <c r="AM73" i="5"/>
  <c r="AN73" i="5" s="1"/>
  <c r="AM11" i="5"/>
  <c r="AN11" i="5" s="1"/>
  <c r="AM40" i="5"/>
  <c r="AN40" i="5" s="1"/>
  <c r="AM57" i="5"/>
  <c r="AN57" i="5" s="1"/>
  <c r="AM61" i="5"/>
  <c r="AN61" i="5" s="1"/>
  <c r="AM74" i="5"/>
  <c r="AN74" i="5" s="1"/>
  <c r="AM76" i="5"/>
  <c r="AN76" i="5" s="1"/>
  <c r="AN19" i="5"/>
  <c r="Y33" i="5"/>
  <c r="Z84" i="5" l="1"/>
  <c r="AA39" i="5"/>
  <c r="AA84" i="5" s="1"/>
  <c r="AB39" i="5"/>
  <c r="AF3" i="5"/>
  <c r="AM34" i="5"/>
  <c r="AN34" i="5" s="1"/>
  <c r="AE34" i="5"/>
  <c r="AF34" i="5" s="1"/>
  <c r="AE33" i="5"/>
  <c r="AM33" i="5"/>
  <c r="AE54" i="5"/>
  <c r="AF54" i="5" s="1"/>
  <c r="AM54" i="5"/>
  <c r="AN54" i="5" s="1"/>
  <c r="AE60" i="5"/>
  <c r="AF60" i="5" s="1"/>
  <c r="AM60" i="5"/>
  <c r="AN60" i="5" s="1"/>
  <c r="AG33" i="5"/>
  <c r="AK33" i="5"/>
  <c r="AD33" i="5"/>
  <c r="Y39" i="5"/>
  <c r="V84" i="5"/>
  <c r="AB84" i="5" l="1"/>
  <c r="AE39" i="5"/>
  <c r="AF39" i="5" s="1"/>
  <c r="AD39" i="5"/>
  <c r="AK39" i="5"/>
  <c r="AK84" i="5" s="1"/>
  <c r="AG39" i="5"/>
  <c r="AG84" i="5" s="1"/>
  <c r="AF33" i="5"/>
  <c r="AF84" i="5" s="1"/>
  <c r="AE84" i="5"/>
  <c r="AN33" i="5"/>
  <c r="AD84" i="5" l="1"/>
  <c r="AM39" i="5"/>
  <c r="AM84" i="5" l="1"/>
  <c r="AN39" i="5"/>
  <c r="AN84" i="5" s="1"/>
</calcChain>
</file>

<file path=xl/sharedStrings.xml><?xml version="1.0" encoding="utf-8"?>
<sst xmlns="http://schemas.openxmlformats.org/spreadsheetml/2006/main" count="3676" uniqueCount="481">
  <si>
    <t xml:space="preserve"> </t>
  </si>
  <si>
    <t>Customer</t>
  </si>
  <si>
    <t>Project</t>
  </si>
  <si>
    <t>Sub Project</t>
  </si>
  <si>
    <t>Work Location</t>
  </si>
  <si>
    <t>Mobile Numbers</t>
  </si>
  <si>
    <t>Mail Id's</t>
  </si>
  <si>
    <t>Jukshio DOJ</t>
  </si>
  <si>
    <t>DOE</t>
  </si>
  <si>
    <t>Sun</t>
  </si>
  <si>
    <t>Mon</t>
  </si>
  <si>
    <t>Tue</t>
  </si>
  <si>
    <t>Wed</t>
  </si>
  <si>
    <t>Thu</t>
  </si>
  <si>
    <t>Fri</t>
  </si>
  <si>
    <t>Sat</t>
  </si>
  <si>
    <t>TD</t>
  </si>
  <si>
    <t>W/O</t>
  </si>
  <si>
    <t>L</t>
  </si>
  <si>
    <t>HFL</t>
  </si>
  <si>
    <t>H</t>
  </si>
  <si>
    <t>MG</t>
  </si>
  <si>
    <t>ML</t>
  </si>
  <si>
    <t>UL</t>
  </si>
  <si>
    <t>MC</t>
  </si>
  <si>
    <t>BL</t>
  </si>
  <si>
    <t>MDL</t>
  </si>
  <si>
    <t>LOP</t>
  </si>
  <si>
    <t>November Opening leaves</t>
  </si>
  <si>
    <t>Present month leave utilization</t>
  </si>
  <si>
    <t>Closing Leaves</t>
  </si>
  <si>
    <t>S.NO</t>
  </si>
  <si>
    <t>EMP ID</t>
  </si>
  <si>
    <t>Names</t>
  </si>
  <si>
    <t>Total Present</t>
  </si>
  <si>
    <t>Total Week Offs</t>
  </si>
  <si>
    <t>Total Leaves</t>
  </si>
  <si>
    <t>Total Half Day Leaves</t>
  </si>
  <si>
    <t>Holiday</t>
  </si>
  <si>
    <t>Marriage</t>
  </si>
  <si>
    <t>Maternity Leave</t>
  </si>
  <si>
    <t>UnPaid Leave</t>
  </si>
  <si>
    <t>Misscarriage</t>
  </si>
  <si>
    <t>Bereavement Leaves</t>
  </si>
  <si>
    <t>Medical Leave</t>
  </si>
  <si>
    <t>Loss of Pay</t>
  </si>
  <si>
    <t>Total Days</t>
  </si>
  <si>
    <t>Total Actual Days</t>
  </si>
  <si>
    <t>Total Payable Days</t>
  </si>
  <si>
    <t>Total %</t>
  </si>
  <si>
    <t>Last Year Carry Forward Leave's</t>
  </si>
  <si>
    <t>CL</t>
  </si>
  <si>
    <t>SL</t>
  </si>
  <si>
    <t>EL</t>
  </si>
  <si>
    <t>Extra EL Balance</t>
  </si>
  <si>
    <t>Lop</t>
  </si>
  <si>
    <t>JAI-148</t>
  </si>
  <si>
    <t>Manappuram/Muthoot/Bajaj</t>
  </si>
  <si>
    <t>KYC</t>
  </si>
  <si>
    <t>Birdman</t>
  </si>
  <si>
    <t>Suvali</t>
  </si>
  <si>
    <t>poojitha.gundlapalli@jukshio.com</t>
  </si>
  <si>
    <t>P</t>
  </si>
  <si>
    <t>JAI-394</t>
  </si>
  <si>
    <t>swathi.baddam@jukshio.com</t>
  </si>
  <si>
    <t>JAI-502</t>
  </si>
  <si>
    <t>balajyothi.somana@jukshio.com</t>
  </si>
  <si>
    <t>JAI-098</t>
  </si>
  <si>
    <t>parijatha.paka@jukshio.com</t>
  </si>
  <si>
    <t>JAI-265</t>
  </si>
  <si>
    <t>shravya.busha@jukshio.com</t>
  </si>
  <si>
    <t>JAI-382</t>
  </si>
  <si>
    <t>90522 62927</t>
  </si>
  <si>
    <t>rekha.bommaraju@jukshio.com</t>
  </si>
  <si>
    <t>JAI-248</t>
  </si>
  <si>
    <t>balamani.dommata@jukshio.com</t>
  </si>
  <si>
    <t>JAI-494</t>
  </si>
  <si>
    <t>Uppal</t>
  </si>
  <si>
    <t>srilekha.dodla@jukshio.com</t>
  </si>
  <si>
    <t>JAI-1153</t>
  </si>
  <si>
    <t>vaishnavi.madoori@jukshio.com</t>
  </si>
  <si>
    <t>JAI-333</t>
  </si>
  <si>
    <t>sushmitha.padmasri@jukshio.com</t>
  </si>
  <si>
    <t>JAI-260</t>
  </si>
  <si>
    <t>ramya.shanagala@jukshio.com</t>
  </si>
  <si>
    <t>JAI-725</t>
  </si>
  <si>
    <t>rajitha.peraboina@jukshio.com</t>
  </si>
  <si>
    <t>JAI-805</t>
  </si>
  <si>
    <t>indumathi.regonda@jukshio.com</t>
  </si>
  <si>
    <t>JAI-1145</t>
  </si>
  <si>
    <t>sindhu.kondra@jukshio.com</t>
  </si>
  <si>
    <t>JAI-301</t>
  </si>
  <si>
    <t>athikha.md@jukshio.com</t>
  </si>
  <si>
    <t>JAI-374</t>
  </si>
  <si>
    <t>md.nishath@jukshio.com</t>
  </si>
  <si>
    <t>JAI-732</t>
  </si>
  <si>
    <t>sana.fathima@jukshio.com</t>
  </si>
  <si>
    <t>JAI-1095</t>
  </si>
  <si>
    <t>srivani.maddikunta@jukshio.com</t>
  </si>
  <si>
    <t>JAI-1280</t>
  </si>
  <si>
    <t>revathi.bhushetti@jukshio.com</t>
  </si>
  <si>
    <t>JAI-468</t>
  </si>
  <si>
    <t>bhargavi.rampally@jukshio.com</t>
  </si>
  <si>
    <t>JAI-487</t>
  </si>
  <si>
    <t>Labelling</t>
  </si>
  <si>
    <t>sangeetha.kuchula@jukshio.com</t>
  </si>
  <si>
    <t>JAI-342</t>
  </si>
  <si>
    <t>preethi.kairamkonda@jukshio.com</t>
  </si>
  <si>
    <t>JAI-880</t>
  </si>
  <si>
    <t>sowjanya.palugula@jukshio.com</t>
  </si>
  <si>
    <t>JAI-757</t>
  </si>
  <si>
    <t>vasavi.gundla@jukshio.com</t>
  </si>
  <si>
    <t>JAI-270</t>
  </si>
  <si>
    <t xml:space="preserve">Curation </t>
  </si>
  <si>
    <t>Swathi.majjiga@jukshio.com</t>
  </si>
  <si>
    <t>JAI-383</t>
  </si>
  <si>
    <t>Curation</t>
  </si>
  <si>
    <t>91773 61601</t>
  </si>
  <si>
    <t>rekha.thatikonda@jukshio.com</t>
  </si>
  <si>
    <t>JAI-583</t>
  </si>
  <si>
    <t>Suvali/Siddipet</t>
  </si>
  <si>
    <t>srinisha.racha@jukshio.com</t>
  </si>
  <si>
    <t>JAI-246</t>
  </si>
  <si>
    <t>akhila.gadhe@jukshio.com</t>
  </si>
  <si>
    <t>JAI-796</t>
  </si>
  <si>
    <t>BHT</t>
  </si>
  <si>
    <t>93906 40467</t>
  </si>
  <si>
    <t>divya.baddam@jukshio.com</t>
  </si>
  <si>
    <t>JAI-268</t>
  </si>
  <si>
    <t>OCR curation</t>
  </si>
  <si>
    <t>spandana.samudrala@jukshio.com</t>
  </si>
  <si>
    <t>JAI-173</t>
  </si>
  <si>
    <t>nisha.jabeen@jukshio.com</t>
  </si>
  <si>
    <t>JAI-1038</t>
  </si>
  <si>
    <t>Retail</t>
  </si>
  <si>
    <t>Cartzy</t>
  </si>
  <si>
    <t xml:space="preserve"> Testing (Training)</t>
  </si>
  <si>
    <t>banoth.soniya@jukshio.com</t>
  </si>
  <si>
    <t>JAI-1158</t>
  </si>
  <si>
    <t>hymavathi.jatangi@jukshio.com</t>
  </si>
  <si>
    <t>JAI-542</t>
  </si>
  <si>
    <t>HQA</t>
  </si>
  <si>
    <t>Saipriya.dandu@jukshio.com</t>
  </si>
  <si>
    <t>JAI-1094</t>
  </si>
  <si>
    <t>srivani.busavaly@jukshio.com</t>
  </si>
  <si>
    <t>JAI-1246</t>
  </si>
  <si>
    <t>kalpana.gurram@jukshio.com</t>
  </si>
  <si>
    <t>JAI-1251</t>
  </si>
  <si>
    <t>kavya.gonela@jukshio.com</t>
  </si>
  <si>
    <t>JAI-1259</t>
  </si>
  <si>
    <t>mounika.khola@jukshio.com</t>
  </si>
  <si>
    <t>JAI-1226</t>
  </si>
  <si>
    <t>hemalatha.chilumula@jukshio.com</t>
  </si>
  <si>
    <t>JAI-486</t>
  </si>
  <si>
    <t>sandhya.katkam@jukshio.com</t>
  </si>
  <si>
    <t>JAI-906</t>
  </si>
  <si>
    <t>Aisle curation</t>
  </si>
  <si>
    <t>akhila.maya@jukshio.com</t>
  </si>
  <si>
    <t>JAI-469</t>
  </si>
  <si>
    <t>divya.akula@jukshio.com</t>
  </si>
  <si>
    <t>JAI-464</t>
  </si>
  <si>
    <t>anusha.yenugula@jukshio.com</t>
  </si>
  <si>
    <t>JAI-1316</t>
  </si>
  <si>
    <t>jangili.lavanya@jukshio.com</t>
  </si>
  <si>
    <t>JAI-317</t>
  </si>
  <si>
    <t>maneesha.repaka@jukshio.com</t>
  </si>
  <si>
    <t>JAI-308</t>
  </si>
  <si>
    <t>93983 20542</t>
  </si>
  <si>
    <t>geetha.bugga@jukshio.com</t>
  </si>
  <si>
    <t>JAI-471</t>
  </si>
  <si>
    <t>harika.akula@jukshio.com</t>
  </si>
  <si>
    <t>JAI-891</t>
  </si>
  <si>
    <t>swetha.pasunoori@jukshio.com</t>
  </si>
  <si>
    <t>JAI-306</t>
  </si>
  <si>
    <t>chandana.pasupunoori@jukshio.com</t>
  </si>
  <si>
    <t>JAI-926</t>
  </si>
  <si>
    <t>charanya.basani@jukshio.com</t>
  </si>
  <si>
    <t>JAI-1015</t>
  </si>
  <si>
    <t>sandhya.muthyala@jukshio.com</t>
  </si>
  <si>
    <t>JAI-564</t>
  </si>
  <si>
    <t>umamaheshwari.gajji@jukshio.com</t>
  </si>
  <si>
    <t>JAI-1264</t>
  </si>
  <si>
    <t>CCTV</t>
  </si>
  <si>
    <t>navya.palle@jukshio.com</t>
  </si>
  <si>
    <t>JAI-1287</t>
  </si>
  <si>
    <t>shireesha.kamuni@jukshio.com</t>
  </si>
  <si>
    <t>JAI-1121</t>
  </si>
  <si>
    <t>SOC</t>
  </si>
  <si>
    <t>mounika.billa@jukshio.com</t>
  </si>
  <si>
    <t>JAI-1139</t>
  </si>
  <si>
    <t>sandhya.gadhe@jukshio.com</t>
  </si>
  <si>
    <t>JAI-1136</t>
  </si>
  <si>
    <t>rishika.mudavath@jukshio.com</t>
  </si>
  <si>
    <t>JAI-081</t>
  </si>
  <si>
    <t>divyakumari.kolluri@jukshio.com</t>
  </si>
  <si>
    <t>JAI-1149</t>
  </si>
  <si>
    <t>RCA Analysis</t>
  </si>
  <si>
    <t>Swetha.kashapaka@jukshio.com</t>
  </si>
  <si>
    <t>JAI-314</t>
  </si>
  <si>
    <t>krishnaveni.morigadi@jukshio.com</t>
  </si>
  <si>
    <t>JAI-1381</t>
  </si>
  <si>
    <t>pallepati.priyanka@jukshio.com</t>
  </si>
  <si>
    <t>JAI-144</t>
  </si>
  <si>
    <t>anusha.morigadi@jukshio.com</t>
  </si>
  <si>
    <t>JAI-264</t>
  </si>
  <si>
    <t>Long leaves</t>
  </si>
  <si>
    <t>shirisha.borra@juskshio.com</t>
  </si>
  <si>
    <t>JAI-310</t>
  </si>
  <si>
    <t>Maternity</t>
  </si>
  <si>
    <t>hemalatha.regu@jukshio.com</t>
  </si>
  <si>
    <t>JAI-377</t>
  </si>
  <si>
    <t>navaneetha.vadlakonda@jukshio.com</t>
  </si>
  <si>
    <t>JAI-747</t>
  </si>
  <si>
    <t>AIMA Maternity</t>
  </si>
  <si>
    <t>suvarchala.yemula@jukshio.com</t>
  </si>
  <si>
    <t>JAI-860</t>
  </si>
  <si>
    <t>AIMA</t>
  </si>
  <si>
    <t xml:space="preserve"> shalini.arpula@jukshio.com</t>
  </si>
  <si>
    <t>JAI-470</t>
  </si>
  <si>
    <t>Resigned</t>
  </si>
  <si>
    <t>63045 09724</t>
  </si>
  <si>
    <t>gowthami.maraboina@jukshio.com</t>
  </si>
  <si>
    <t>-</t>
  </si>
  <si>
    <t>JAI-277</t>
  </si>
  <si>
    <t>83417 04904</t>
  </si>
  <si>
    <t>mounika.enja@jukshio.com</t>
  </si>
  <si>
    <t>JAI-338</t>
  </si>
  <si>
    <t>bhavani.repaka@jukshio.com</t>
  </si>
  <si>
    <t>JAI-1284</t>
  </si>
  <si>
    <t>sankalpana.boda@jukshio.com</t>
  </si>
  <si>
    <t>JAI-892</t>
  </si>
  <si>
    <t>swetha.yerraguntla@jukshio.com</t>
  </si>
  <si>
    <t>JAI-833</t>
  </si>
  <si>
    <t>navaneetha.guddenki@jukshio.com</t>
  </si>
  <si>
    <t>JAI-517</t>
  </si>
  <si>
    <t>mamatha.nalla@jukshio.com</t>
  </si>
  <si>
    <t>JAI-042</t>
  </si>
  <si>
    <t>96408 62492</t>
  </si>
  <si>
    <t>shirisha.mote@jukshio.com</t>
  </si>
  <si>
    <t>JAI-060</t>
  </si>
  <si>
    <t>chaitanya.nashaboina@jukshio.com</t>
  </si>
  <si>
    <t>JAI-1325</t>
  </si>
  <si>
    <t>vinitha.rallabandi@jukshio.com</t>
  </si>
  <si>
    <t>JAI-321</t>
  </si>
  <si>
    <t>prasanna.kurmeti@jukshio.com</t>
  </si>
  <si>
    <t>JAI-275</t>
  </si>
  <si>
    <t>divya.aare@jukshio.com</t>
  </si>
  <si>
    <t>JAI-1314</t>
  </si>
  <si>
    <t>anusha.yamjala@jukshio.com</t>
  </si>
  <si>
    <t>JAI-1029</t>
  </si>
  <si>
    <t>puluri.shirisha@jukshio.com</t>
  </si>
  <si>
    <t>DOJ</t>
  </si>
  <si>
    <t>Closing Leave Balance - January,2026</t>
  </si>
  <si>
    <t>01st Mar weekoff taken in Feb Last week itself</t>
  </si>
  <si>
    <t>01st feb Weekoff taken early in Jan'26</t>
  </si>
  <si>
    <t>Feb'26 Attendance Comments</t>
  </si>
  <si>
    <t>Jan'26 Attendance Comments</t>
  </si>
  <si>
    <t>EMPLOYEE CONTRIBUTION</t>
  </si>
  <si>
    <t>EMPLOYER CONTRIBUTION</t>
  </si>
  <si>
    <t>DEDUCTIONS</t>
  </si>
  <si>
    <t>Sl.No.</t>
  </si>
  <si>
    <t>Employee Name</t>
  </si>
  <si>
    <t>Department</t>
  </si>
  <si>
    <t>Bank A/c No</t>
  </si>
  <si>
    <t>IFSC</t>
  </si>
  <si>
    <t>UAN</t>
  </si>
  <si>
    <t>PAN</t>
  </si>
  <si>
    <t>ESI NO</t>
  </si>
  <si>
    <t>DOB</t>
  </si>
  <si>
    <t>Gender</t>
  </si>
  <si>
    <t>Bifurcation of Employees</t>
  </si>
  <si>
    <t>Payable Days</t>
  </si>
  <si>
    <t xml:space="preserve">Standed Month Salary </t>
  </si>
  <si>
    <t>Current Month Salary</t>
  </si>
  <si>
    <t>Basic</t>
  </si>
  <si>
    <t>HRA</t>
  </si>
  <si>
    <t>LTA</t>
  </si>
  <si>
    <t>Special Allowances</t>
  </si>
  <si>
    <t>Gross Salary</t>
  </si>
  <si>
    <t>Gratuity</t>
  </si>
  <si>
    <t>Final Gross</t>
  </si>
  <si>
    <t>Gross for PF</t>
  </si>
  <si>
    <t>EPF Wages</t>
  </si>
  <si>
    <t xml:space="preserve"> P.F.(12%)</t>
  </si>
  <si>
    <t>VPF</t>
  </si>
  <si>
    <t>ESI (0.75%)</t>
  </si>
  <si>
    <t>E.P.F. (8.33%)</t>
  </si>
  <si>
    <t>P.F. (3.67%)</t>
  </si>
  <si>
    <t>ESI (3.25%)</t>
  </si>
  <si>
    <t>TDS</t>
  </si>
  <si>
    <t>Any Others / Advance</t>
  </si>
  <si>
    <t>Insurance Advance</t>
  </si>
  <si>
    <t>Profession Tax</t>
  </si>
  <si>
    <t>LWF</t>
  </si>
  <si>
    <t>(PF+ESI+LWF)</t>
  </si>
  <si>
    <t>Net Salary</t>
  </si>
  <si>
    <t>Commnets</t>
  </si>
  <si>
    <t>No. of completed year of service (Gratuity)</t>
  </si>
  <si>
    <t>Last drwan Basic Salary</t>
  </si>
  <si>
    <t>Gratutiy Amount</t>
  </si>
  <si>
    <t>Anchor</t>
  </si>
  <si>
    <t>HDFC0001635</t>
  </si>
  <si>
    <t>101548467393</t>
  </si>
  <si>
    <t>FENPM4917N</t>
  </si>
  <si>
    <t>Female</t>
  </si>
  <si>
    <t>Semi-skilled</t>
  </si>
  <si>
    <t>No</t>
  </si>
  <si>
    <t>101548467653</t>
  </si>
  <si>
    <t>BPTPN8806A</t>
  </si>
  <si>
    <t>101589851810</t>
  </si>
  <si>
    <t>JNFPK9704N</t>
  </si>
  <si>
    <t>101548467892</t>
  </si>
  <si>
    <t>FNTPP6732H</t>
  </si>
  <si>
    <t>101620639348</t>
  </si>
  <si>
    <t>DJDPM2220M</t>
  </si>
  <si>
    <t>101641624231</t>
  </si>
  <si>
    <t>IFSPP2656L</t>
  </si>
  <si>
    <t>HDFC0000240</t>
  </si>
  <si>
    <t>101641624220</t>
  </si>
  <si>
    <t>COLPJ2745G</t>
  </si>
  <si>
    <t>101693034754</t>
  </si>
  <si>
    <t>DUCPA7598L</t>
  </si>
  <si>
    <t>101693033653</t>
  </si>
  <si>
    <t>FPPPB7330B</t>
  </si>
  <si>
    <t>101693033109</t>
  </si>
  <si>
    <t>FFGPR2158Q</t>
  </si>
  <si>
    <t>101693033121</t>
  </si>
  <si>
    <t>OEQPS9295D</t>
  </si>
  <si>
    <t>101693033676</t>
  </si>
  <si>
    <t>OENPS6494M</t>
  </si>
  <si>
    <t>101693034708</t>
  </si>
  <si>
    <t>ODGPS5639G</t>
  </si>
  <si>
    <t>101693033703</t>
  </si>
  <si>
    <t>NFXPS9700G</t>
  </si>
  <si>
    <t>HDFC0000472</t>
  </si>
  <si>
    <t>101693033761</t>
  </si>
  <si>
    <t>FCWPD2945A</t>
  </si>
  <si>
    <t>HDFC0002352</t>
  </si>
  <si>
    <t>101693032161</t>
  </si>
  <si>
    <t>AFFPE6498C</t>
  </si>
  <si>
    <t>101722628512</t>
  </si>
  <si>
    <t>EFXPA7539L</t>
  </si>
  <si>
    <t>HDFC0003916</t>
  </si>
  <si>
    <t>101727707088</t>
  </si>
  <si>
    <t>DKAPR8305G</t>
  </si>
  <si>
    <t>101727707116</t>
  </si>
  <si>
    <t>KZOPK0189K</t>
  </si>
  <si>
    <t>101727707144</t>
  </si>
  <si>
    <t>IUUPK5573G</t>
  </si>
  <si>
    <t>101728745071</t>
  </si>
  <si>
    <t>NADPS4388P</t>
  </si>
  <si>
    <t>101727707349</t>
  </si>
  <si>
    <t>FWMPB6525E</t>
  </si>
  <si>
    <t>101721443487</t>
  </si>
  <si>
    <t>GKOPP8991P</t>
  </si>
  <si>
    <t>101758025155</t>
  </si>
  <si>
    <t>CPEPN3528R</t>
  </si>
  <si>
    <t>101758030367</t>
  </si>
  <si>
    <t>FMRPR4408H</t>
  </si>
  <si>
    <t>101758031212</t>
  </si>
  <si>
    <t>CDNPT0680B</t>
  </si>
  <si>
    <t>101758038715</t>
  </si>
  <si>
    <t>NPKPS3503A</t>
  </si>
  <si>
    <t>HDFC0009087</t>
  </si>
  <si>
    <t>101877719011</t>
  </si>
  <si>
    <t>DNJPG4658D</t>
  </si>
  <si>
    <t>101877718954</t>
  </si>
  <si>
    <t>KZLPS3922P</t>
  </si>
  <si>
    <t>101907229534</t>
  </si>
  <si>
    <t>HFLPP7604N</t>
  </si>
  <si>
    <t>AMIA</t>
  </si>
  <si>
    <t>101907229552</t>
  </si>
  <si>
    <t>BIGPY4450F</t>
  </si>
  <si>
    <t>101926502058</t>
  </si>
  <si>
    <t>EWPPA0721P</t>
  </si>
  <si>
    <t>101916216840</t>
  </si>
  <si>
    <t>QMTPS7428R</t>
  </si>
  <si>
    <t>101970000680</t>
  </si>
  <si>
    <t>IGSPM9947Q</t>
  </si>
  <si>
    <t>101970000410</t>
  </si>
  <si>
    <t>GMGPR3649J</t>
  </si>
  <si>
    <t>101970000447</t>
  </si>
  <si>
    <t>NWGPS1152E</t>
  </si>
  <si>
    <t>101969999988</t>
  </si>
  <si>
    <t>NKMPK1037C</t>
  </si>
  <si>
    <t>101970000423</t>
  </si>
  <si>
    <t>PZFPS2268D</t>
  </si>
  <si>
    <t>101970000239</t>
  </si>
  <si>
    <t>CIRPV6752K</t>
  </si>
  <si>
    <t>101969999893</t>
  </si>
  <si>
    <t>BNTPH 9030C</t>
  </si>
  <si>
    <t>101908102863</t>
  </si>
  <si>
    <t>EANPG7868F</t>
  </si>
  <si>
    <t>101916715226</t>
  </si>
  <si>
    <t>BNHPY5660H</t>
  </si>
  <si>
    <t>101727707222</t>
  </si>
  <si>
    <t>CNDPC1537N</t>
  </si>
  <si>
    <t>101557262676</t>
  </si>
  <si>
    <t>DPUPG9647M</t>
  </si>
  <si>
    <t>101721436177</t>
  </si>
  <si>
    <t>GVMPM6619A</t>
  </si>
  <si>
    <t>101757902501</t>
  </si>
  <si>
    <t>COSPN0843N</t>
  </si>
  <si>
    <t>101877719356</t>
  </si>
  <si>
    <t>EQAPA2205R</t>
  </si>
  <si>
    <t>101877719095</t>
  </si>
  <si>
    <t>GIEPB3849E</t>
  </si>
  <si>
    <t>HDFC0003665</t>
  </si>
  <si>
    <t>101777906628</t>
  </si>
  <si>
    <t>HKNPD7903K</t>
  </si>
  <si>
    <t>101877719302</t>
  </si>
  <si>
    <t>BNBPH4995J</t>
  </si>
  <si>
    <t>101852889878</t>
  </si>
  <si>
    <t>LPXPK6079J</t>
  </si>
  <si>
    <t>101852889884</t>
  </si>
  <si>
    <t>LXOPK1703Q</t>
  </si>
  <si>
    <t>101877719024</t>
  </si>
  <si>
    <t>GNHPM0054E</t>
  </si>
  <si>
    <t>101877719285</t>
  </si>
  <si>
    <t>GSQPP1392Q</t>
  </si>
  <si>
    <t>101877719198</t>
  </si>
  <si>
    <t>HLZPM6514A</t>
  </si>
  <si>
    <t>101852892332</t>
  </si>
  <si>
    <t>FBCPR4633G</t>
  </si>
  <si>
    <t>101785031099</t>
  </si>
  <si>
    <t>AHMPF8116H</t>
  </si>
  <si>
    <t>Asset</t>
  </si>
  <si>
    <t>101907089402</t>
  </si>
  <si>
    <t>IGCPD6253C</t>
  </si>
  <si>
    <t>101907089441</t>
  </si>
  <si>
    <t>ANYPI3225L</t>
  </si>
  <si>
    <t>HDFC0000512</t>
  </si>
  <si>
    <t>101916714963</t>
  </si>
  <si>
    <t>CMCPN1171M</t>
  </si>
  <si>
    <t>101920510077</t>
  </si>
  <si>
    <t>QHSPS3258B</t>
  </si>
  <si>
    <t>101916715274</t>
  </si>
  <si>
    <t>OWQPS3200E</t>
  </si>
  <si>
    <t>101916215742</t>
  </si>
  <si>
    <t>DRWPA0526F</t>
  </si>
  <si>
    <t>101916217003</t>
  </si>
  <si>
    <t>GUNPB2687F</t>
  </si>
  <si>
    <t>101916216961</t>
  </si>
  <si>
    <t>QLCPS4334A</t>
  </si>
  <si>
    <t>HDFC0009401</t>
  </si>
  <si>
    <t>101916715482</t>
  </si>
  <si>
    <t>MPFPS4677M</t>
  </si>
  <si>
    <t>HDFC0003059</t>
  </si>
  <si>
    <t>101935600601</t>
  </si>
  <si>
    <t>FBJPB2320F</t>
  </si>
  <si>
    <t>101935600557</t>
  </si>
  <si>
    <t>PXYPS1182R</t>
  </si>
  <si>
    <t>HDFC0004250</t>
  </si>
  <si>
    <t>101977542162</t>
  </si>
  <si>
    <t>BLYPH8180E</t>
  </si>
  <si>
    <t>101988385028</t>
  </si>
  <si>
    <t>MGXPK9263J</t>
  </si>
  <si>
    <t>HDFC0000642</t>
  </si>
  <si>
    <t>101992458369</t>
  </si>
  <si>
    <t>KSTPK0296K</t>
  </si>
  <si>
    <t>101988384848</t>
  </si>
  <si>
    <t>NYFPK7090N</t>
  </si>
  <si>
    <t>101988385092</t>
  </si>
  <si>
    <t>DCKPN1130H</t>
  </si>
  <si>
    <t>101988385156</t>
  </si>
  <si>
    <t>GPBPR1524A</t>
  </si>
  <si>
    <t>HDFC0005831</t>
  </si>
  <si>
    <t>101838768093</t>
  </si>
  <si>
    <t>POVPS2348B</t>
  </si>
  <si>
    <t>101988384998</t>
  </si>
  <si>
    <t>OGDPS1081L</t>
  </si>
  <si>
    <t>102012168883</t>
  </si>
  <si>
    <t>FIUPA1549F</t>
  </si>
  <si>
    <t>101737403301</t>
  </si>
  <si>
    <t>BQCPL8157Q</t>
  </si>
  <si>
    <t>101636967755</t>
  </si>
  <si>
    <t>CAGPV5847L</t>
  </si>
  <si>
    <t>101758025867</t>
  </si>
  <si>
    <t>GMZPP9889M</t>
  </si>
  <si>
    <t>One time Bonus</t>
  </si>
  <si>
    <t>Full month salary to be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</si>
</sst>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d\-mmm\-yyyy"/>
    <numFmt numFmtId="165" formatCode="&quot;$&quot;#,##0.00"/>
    <numFmt numFmtId="166" formatCode="d\-mmmm\-yyyy"/>
    <numFmt numFmtId="167" formatCode="dd\-mmm\-yyyy"/>
    <numFmt numFmtId="168" formatCode="dd\-mmmm\-yyyy"/>
    <numFmt numFmtId="172" formatCode="_-* #,##0_-;\-* #,##0_-;_-* &quot;-&quot;??_-;_-@"/>
    <numFmt numFmtId="173" formatCode="_ * #,##0_ ;_ * \-#,##0_ ;_ * &quot;-&quot;??_ ;_ @_ "/>
  </numFmts>
  <fonts count="26" x14ac:knownFonts="1">
    <font>
      <sz val="10"/>
      <color rgb="FF000000"/>
      <name val="Arial"/>
      <scheme val="minor"/>
    </font>
    <font>
      <sz val="10"/>
      <name val="Arial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Lato"/>
      <family val="2"/>
    </font>
    <font>
      <sz val="10"/>
      <color theme="1"/>
      <name val="Lato"/>
      <family val="2"/>
    </font>
    <font>
      <sz val="11"/>
      <color rgb="FF222222"/>
      <name val="Arial"/>
      <family val="2"/>
    </font>
    <font>
      <sz val="11"/>
      <color rgb="FF1F1F1F"/>
      <name val="Lato"/>
      <family val="2"/>
    </font>
    <font>
      <b/>
      <sz val="11"/>
      <color theme="1"/>
      <name val="Cambria"/>
      <family val="1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color rgb="FF212529"/>
      <name val="Calibri"/>
      <family val="2"/>
    </font>
    <font>
      <sz val="9"/>
      <color rgb="FF222222"/>
      <name val="Calibri"/>
      <family val="2"/>
    </font>
    <font>
      <sz val="9"/>
      <color rgb="FF1F1F1F"/>
      <name val="Calibri"/>
      <family val="2"/>
    </font>
    <font>
      <b/>
      <u/>
      <sz val="11"/>
      <color rgb="FF0000FF"/>
      <name val="Cambria"/>
      <family val="1"/>
    </font>
    <font>
      <sz val="9"/>
      <color rgb="FFFF0000"/>
      <name val="Calibri"/>
      <family val="2"/>
    </font>
    <font>
      <sz val="10"/>
      <color rgb="FF000000"/>
      <name val="Arial"/>
      <family val="2"/>
      <scheme val="minor"/>
    </font>
    <font>
      <sz val="11"/>
      <color theme="1"/>
      <name val="Arial"/>
      <family val="2"/>
    </font>
    <font>
      <b/>
      <sz val="10"/>
      <color theme="1"/>
      <name val="Calibri"/>
      <family val="2"/>
    </font>
    <font>
      <b/>
      <sz val="9"/>
      <name val="Calibri"/>
      <family val="2"/>
    </font>
    <font>
      <sz val="10"/>
      <color rgb="FF000000"/>
      <name val="Arial"/>
      <family val="2"/>
      <scheme val="minor"/>
    </font>
    <font>
      <b/>
      <sz val="9"/>
      <color rgb="FFFF0000"/>
      <name val="Calibri"/>
      <family val="2"/>
    </font>
    <font>
      <sz val="11"/>
      <color theme="1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theme="9" tint="0.59999389629810485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43" fontId="19" fillId="0" borderId="0" applyFont="0" applyFill="0" applyBorder="0" applyAlignment="0" applyProtection="0"/>
    <xf numFmtId="0" fontId="20" fillId="0" borderId="0"/>
    <xf numFmtId="43" fontId="23" fillId="0" borderId="0" applyFont="0" applyFill="0" applyBorder="0" applyAlignment="0" applyProtection="0"/>
    <xf numFmtId="0" fontId="23" fillId="0" borderId="0"/>
    <xf numFmtId="0" fontId="25" fillId="0" borderId="0"/>
  </cellStyleXfs>
  <cellXfs count="151">
    <xf numFmtId="0" fontId="0" fillId="0" borderId="0" xfId="0"/>
    <xf numFmtId="0" fontId="4" fillId="6" borderId="2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 wrapText="1"/>
    </xf>
    <xf numFmtId="0" fontId="10" fillId="0" borderId="0" xfId="0" applyFont="1" applyAlignment="1">
      <alignment wrapText="1"/>
    </xf>
    <xf numFmtId="0" fontId="10" fillId="2" borderId="1" xfId="0" applyFont="1" applyFill="1" applyBorder="1" applyAlignment="1">
      <alignment horizontal="right" vertical="center" wrapText="1"/>
    </xf>
    <xf numFmtId="0" fontId="9" fillId="3" borderId="1" xfId="0" applyFont="1" applyFill="1" applyBorder="1" applyAlignment="1">
      <alignment horizontal="center" wrapText="1"/>
    </xf>
    <xf numFmtId="0" fontId="9" fillId="4" borderId="1" xfId="0" applyFont="1" applyFill="1" applyBorder="1" applyAlignment="1">
      <alignment horizontal="center" wrapText="1"/>
    </xf>
    <xf numFmtId="0" fontId="9" fillId="5" borderId="1" xfId="0" applyFont="1" applyFill="1" applyBorder="1" applyAlignment="1">
      <alignment horizontal="center" wrapText="1"/>
    </xf>
    <xf numFmtId="0" fontId="12" fillId="6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 wrapText="1"/>
    </xf>
    <xf numFmtId="164" fontId="12" fillId="6" borderId="1" xfId="0" applyNumberFormat="1" applyFont="1" applyFill="1" applyBorder="1" applyAlignment="1">
      <alignment horizontal="center"/>
    </xf>
    <xf numFmtId="164" fontId="12" fillId="6" borderId="1" xfId="0" applyNumberFormat="1" applyFont="1" applyFill="1" applyBorder="1"/>
    <xf numFmtId="0" fontId="12" fillId="0" borderId="1" xfId="0" applyFont="1" applyBorder="1" applyAlignment="1">
      <alignment horizontal="center"/>
    </xf>
    <xf numFmtId="10" fontId="12" fillId="0" borderId="1" xfId="0" applyNumberFormat="1" applyFont="1" applyBorder="1"/>
    <xf numFmtId="0" fontId="12" fillId="0" borderId="1" xfId="0" applyFont="1" applyBorder="1"/>
    <xf numFmtId="0" fontId="9" fillId="0" borderId="1" xfId="0" applyFont="1" applyBorder="1" applyAlignment="1">
      <alignment horizontal="center"/>
    </xf>
    <xf numFmtId="0" fontId="10" fillId="0" borderId="0" xfId="0" applyFont="1"/>
    <xf numFmtId="0" fontId="13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 wrapText="1"/>
    </xf>
    <xf numFmtId="164" fontId="13" fillId="6" borderId="1" xfId="0" applyNumberFormat="1" applyFont="1" applyFill="1" applyBorder="1" applyAlignment="1">
      <alignment horizontal="center"/>
    </xf>
    <xf numFmtId="164" fontId="13" fillId="6" borderId="1" xfId="0" applyNumberFormat="1" applyFont="1" applyFill="1" applyBorder="1"/>
    <xf numFmtId="0" fontId="13" fillId="6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3" fontId="13" fillId="0" borderId="1" xfId="0" applyNumberFormat="1" applyFont="1" applyBorder="1"/>
    <xf numFmtId="10" fontId="13" fillId="0" borderId="1" xfId="0" applyNumberFormat="1" applyFont="1" applyBorder="1"/>
    <xf numFmtId="0" fontId="13" fillId="0" borderId="1" xfId="0" applyFont="1" applyBorder="1"/>
    <xf numFmtId="0" fontId="10" fillId="6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66" fontId="13" fillId="6" borderId="1" xfId="0" applyNumberFormat="1" applyFont="1" applyFill="1" applyBorder="1" applyAlignment="1">
      <alignment horizontal="center"/>
    </xf>
    <xf numFmtId="166" fontId="13" fillId="6" borderId="1" xfId="0" applyNumberFormat="1" applyFont="1" applyFill="1" applyBorder="1"/>
    <xf numFmtId="167" fontId="13" fillId="6" borderId="1" xfId="0" applyNumberFormat="1" applyFont="1" applyFill="1" applyBorder="1" applyAlignment="1">
      <alignment horizontal="center"/>
    </xf>
    <xf numFmtId="167" fontId="13" fillId="6" borderId="1" xfId="0" applyNumberFormat="1" applyFont="1" applyFill="1" applyBorder="1"/>
    <xf numFmtId="0" fontId="13" fillId="0" borderId="0" xfId="0" applyFont="1" applyAlignment="1">
      <alignment horizontal="center"/>
    </xf>
    <xf numFmtId="0" fontId="13" fillId="6" borderId="1" xfId="0" applyFont="1" applyFill="1" applyBorder="1"/>
    <xf numFmtId="168" fontId="13" fillId="6" borderId="1" xfId="0" applyNumberFormat="1" applyFont="1" applyFill="1" applyBorder="1" applyAlignment="1">
      <alignment horizontal="center"/>
    </xf>
    <xf numFmtId="168" fontId="13" fillId="6" borderId="1" xfId="0" applyNumberFormat="1" applyFont="1" applyFill="1" applyBorder="1"/>
    <xf numFmtId="0" fontId="13" fillId="6" borderId="2" xfId="0" applyFont="1" applyFill="1" applyBorder="1" applyAlignment="1">
      <alignment horizontal="center"/>
    </xf>
    <xf numFmtId="1" fontId="13" fillId="6" borderId="1" xfId="0" applyNumberFormat="1" applyFont="1" applyFill="1" applyBorder="1" applyAlignment="1">
      <alignment horizontal="center"/>
    </xf>
    <xf numFmtId="10" fontId="13" fillId="0" borderId="1" xfId="0" applyNumberFormat="1" applyFont="1" applyBorder="1" applyAlignment="1">
      <alignment horizontal="right"/>
    </xf>
    <xf numFmtId="0" fontId="14" fillId="6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center"/>
    </xf>
    <xf numFmtId="3" fontId="13" fillId="0" borderId="0" xfId="0" applyNumberFormat="1" applyFont="1"/>
    <xf numFmtId="0" fontId="13" fillId="6" borderId="1" xfId="0" applyFont="1" applyFill="1" applyBorder="1" applyAlignment="1">
      <alignment horizontal="left"/>
    </xf>
    <xf numFmtId="165" fontId="13" fillId="6" borderId="1" xfId="0" applyNumberFormat="1" applyFont="1" applyFill="1" applyBorder="1" applyAlignment="1">
      <alignment horizontal="left"/>
    </xf>
    <xf numFmtId="0" fontId="13" fillId="3" borderId="1" xfId="0" applyFont="1" applyFill="1" applyBorder="1" applyAlignment="1">
      <alignment horizontal="left"/>
    </xf>
    <xf numFmtId="0" fontId="13" fillId="6" borderId="1" xfId="0" applyFont="1" applyFill="1" applyBorder="1" applyAlignment="1">
      <alignment horizontal="left" wrapText="1"/>
    </xf>
    <xf numFmtId="0" fontId="16" fillId="7" borderId="1" xfId="0" applyFont="1" applyFill="1" applyBorder="1" applyAlignment="1">
      <alignment horizontal="left" vertical="top"/>
    </xf>
    <xf numFmtId="0" fontId="13" fillId="7" borderId="1" xfId="0" applyFont="1" applyFill="1" applyBorder="1" applyAlignment="1">
      <alignment horizontal="left"/>
    </xf>
    <xf numFmtId="0" fontId="17" fillId="4" borderId="1" xfId="0" applyFont="1" applyFill="1" applyBorder="1" applyAlignment="1">
      <alignment horizontal="center"/>
    </xf>
    <xf numFmtId="0" fontId="3" fillId="6" borderId="2" xfId="0" applyFont="1" applyFill="1" applyBorder="1"/>
    <xf numFmtId="0" fontId="8" fillId="4" borderId="5" xfId="0" applyFont="1" applyFill="1" applyBorder="1" applyAlignment="1">
      <alignment horizontal="center"/>
    </xf>
    <xf numFmtId="0" fontId="3" fillId="6" borderId="7" xfId="0" applyFont="1" applyFill="1" applyBorder="1"/>
    <xf numFmtId="0" fontId="2" fillId="5" borderId="7" xfId="0" applyFont="1" applyFill="1" applyBorder="1" applyAlignment="1">
      <alignment horizontal="center" wrapText="1"/>
    </xf>
    <xf numFmtId="0" fontId="4" fillId="6" borderId="7" xfId="0" applyFont="1" applyFill="1" applyBorder="1" applyAlignment="1">
      <alignment horizontal="center"/>
    </xf>
    <xf numFmtId="0" fontId="0" fillId="0" borderId="7" xfId="0" applyBorder="1"/>
    <xf numFmtId="0" fontId="6" fillId="6" borderId="7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left"/>
    </xf>
    <xf numFmtId="165" fontId="4" fillId="6" borderId="7" xfId="0" applyNumberFormat="1" applyFont="1" applyFill="1" applyBorder="1" applyAlignment="1">
      <alignment horizontal="left"/>
    </xf>
    <xf numFmtId="0" fontId="7" fillId="6" borderId="7" xfId="0" applyFont="1" applyFill="1" applyBorder="1" applyAlignment="1">
      <alignment horizontal="left" vertical="top"/>
    </xf>
    <xf numFmtId="0" fontId="4" fillId="6" borderId="7" xfId="0" applyFont="1" applyFill="1" applyBorder="1" applyAlignment="1">
      <alignment horizontal="left" wrapText="1"/>
    </xf>
    <xf numFmtId="0" fontId="18" fillId="6" borderId="1" xfId="0" applyFont="1" applyFill="1" applyBorder="1" applyAlignment="1">
      <alignment horizontal="center"/>
    </xf>
    <xf numFmtId="0" fontId="9" fillId="0" borderId="0" xfId="0" applyFont="1"/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/>
    </xf>
    <xf numFmtId="0" fontId="12" fillId="8" borderId="7" xfId="2" applyFont="1" applyFill="1" applyBorder="1" applyAlignment="1">
      <alignment horizontal="center"/>
    </xf>
    <xf numFmtId="0" fontId="12" fillId="8" borderId="7" xfId="2" applyFont="1" applyFill="1" applyBorder="1" applyAlignment="1">
      <alignment horizontal="center" wrapText="1"/>
    </xf>
    <xf numFmtId="12" fontId="12" fillId="8" borderId="7" xfId="2" applyNumberFormat="1" applyFont="1" applyFill="1" applyBorder="1" applyAlignment="1">
      <alignment horizontal="center" wrapText="1"/>
    </xf>
    <xf numFmtId="1" fontId="12" fillId="9" borderId="7" xfId="2" applyNumberFormat="1" applyFont="1" applyFill="1" applyBorder="1" applyAlignment="1">
      <alignment horizontal="center"/>
    </xf>
    <xf numFmtId="0" fontId="13" fillId="0" borderId="0" xfId="2" applyFont="1"/>
    <xf numFmtId="0" fontId="12" fillId="8" borderId="7" xfId="2" applyFont="1" applyFill="1" applyBorder="1" applyAlignment="1">
      <alignment horizontal="center" vertical="center" wrapText="1"/>
    </xf>
    <xf numFmtId="12" fontId="21" fillId="8" borderId="7" xfId="2" applyNumberFormat="1" applyFont="1" applyFill="1" applyBorder="1" applyAlignment="1">
      <alignment horizontal="center" wrapText="1"/>
    </xf>
    <xf numFmtId="0" fontId="21" fillId="8" borderId="7" xfId="2" applyFont="1" applyFill="1" applyBorder="1" applyAlignment="1">
      <alignment horizontal="center" wrapText="1"/>
    </xf>
    <xf numFmtId="1" fontId="12" fillId="9" borderId="7" xfId="2" applyNumberFormat="1" applyFont="1" applyFill="1" applyBorder="1" applyAlignment="1">
      <alignment horizontal="center" vertical="center" wrapText="1"/>
    </xf>
    <xf numFmtId="0" fontId="22" fillId="10" borderId="7" xfId="2" applyFont="1" applyFill="1" applyBorder="1" applyAlignment="1">
      <alignment horizontal="center" vertical="center" wrapText="1"/>
    </xf>
    <xf numFmtId="0" fontId="22" fillId="8" borderId="7" xfId="2" applyFont="1" applyFill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0" xfId="2" applyFont="1" applyAlignment="1">
      <alignment vertical="center" wrapText="1"/>
    </xf>
    <xf numFmtId="0" fontId="13" fillId="0" borderId="0" xfId="2" applyFont="1" applyAlignment="1">
      <alignment vertical="center" wrapText="1"/>
    </xf>
    <xf numFmtId="0" fontId="13" fillId="0" borderId="7" xfId="2" applyFont="1" applyBorder="1" applyAlignment="1">
      <alignment horizontal="center"/>
    </xf>
    <xf numFmtId="14" fontId="13" fillId="0" borderId="7" xfId="2" applyNumberFormat="1" applyFont="1" applyBorder="1" applyAlignment="1">
      <alignment horizontal="center" vertical="center"/>
    </xf>
    <xf numFmtId="14" fontId="13" fillId="11" borderId="7" xfId="2" applyNumberFormat="1" applyFont="1" applyFill="1" applyBorder="1" applyAlignment="1">
      <alignment horizontal="center" vertical="center"/>
    </xf>
    <xf numFmtId="0" fontId="13" fillId="6" borderId="7" xfId="2" applyFont="1" applyFill="1" applyBorder="1" applyAlignment="1">
      <alignment horizontal="left"/>
    </xf>
    <xf numFmtId="0" fontId="13" fillId="11" borderId="7" xfId="2" applyFont="1" applyFill="1" applyBorder="1" applyAlignment="1">
      <alignment horizontal="center"/>
    </xf>
    <xf numFmtId="12" fontId="13" fillId="11" borderId="7" xfId="2" applyNumberFormat="1" applyFont="1" applyFill="1" applyBorder="1" applyAlignment="1">
      <alignment horizontal="center"/>
    </xf>
    <xf numFmtId="14" fontId="13" fillId="11" borderId="7" xfId="2" applyNumberFormat="1" applyFont="1" applyFill="1" applyBorder="1" applyAlignment="1">
      <alignment horizontal="center"/>
    </xf>
    <xf numFmtId="173" fontId="13" fillId="11" borderId="7" xfId="2" applyNumberFormat="1" applyFont="1" applyFill="1" applyBorder="1" applyAlignment="1">
      <alignment horizontal="center"/>
    </xf>
    <xf numFmtId="1" fontId="13" fillId="6" borderId="7" xfId="2" applyNumberFormat="1" applyFont="1" applyFill="1" applyBorder="1" applyAlignment="1">
      <alignment horizontal="center"/>
    </xf>
    <xf numFmtId="3" fontId="13" fillId="6" borderId="7" xfId="2" applyNumberFormat="1" applyFont="1" applyFill="1" applyBorder="1" applyAlignment="1">
      <alignment horizontal="center"/>
    </xf>
    <xf numFmtId="3" fontId="13" fillId="0" borderId="7" xfId="2" applyNumberFormat="1" applyFont="1" applyBorder="1" applyAlignment="1">
      <alignment horizontal="center"/>
    </xf>
    <xf numFmtId="3" fontId="13" fillId="11" borderId="7" xfId="2" applyNumberFormat="1" applyFont="1" applyFill="1" applyBorder="1" applyAlignment="1">
      <alignment horizontal="center"/>
    </xf>
    <xf numFmtId="3" fontId="12" fillId="0" borderId="7" xfId="2" applyNumberFormat="1" applyFont="1" applyBorder="1" applyAlignment="1">
      <alignment horizontal="center"/>
    </xf>
    <xf numFmtId="1" fontId="13" fillId="0" borderId="7" xfId="2" applyNumberFormat="1" applyFont="1" applyBorder="1" applyAlignment="1">
      <alignment horizontal="center"/>
    </xf>
    <xf numFmtId="0" fontId="11" fillId="0" borderId="7" xfId="2" applyFont="1" applyBorder="1" applyAlignment="1">
      <alignment horizontal="center"/>
    </xf>
    <xf numFmtId="3" fontId="13" fillId="0" borderId="7" xfId="2" applyNumberFormat="1" applyFont="1" applyBorder="1"/>
    <xf numFmtId="0" fontId="18" fillId="0" borderId="0" xfId="2" applyFont="1"/>
    <xf numFmtId="43" fontId="13" fillId="0" borderId="0" xfId="3" applyFont="1"/>
    <xf numFmtId="43" fontId="13" fillId="0" borderId="0" xfId="2" applyNumberFormat="1" applyFont="1"/>
    <xf numFmtId="0" fontId="18" fillId="12" borderId="10" xfId="2" applyFont="1" applyFill="1" applyBorder="1"/>
    <xf numFmtId="3" fontId="13" fillId="0" borderId="0" xfId="2" applyNumberFormat="1" applyFont="1"/>
    <xf numFmtId="3" fontId="18" fillId="0" borderId="0" xfId="2" applyNumberFormat="1" applyFont="1"/>
    <xf numFmtId="0" fontId="13" fillId="14" borderId="7" xfId="2" applyFont="1" applyFill="1" applyBorder="1" applyAlignment="1">
      <alignment horizontal="left"/>
    </xf>
    <xf numFmtId="14" fontId="13" fillId="0" borderId="7" xfId="2" applyNumberFormat="1" applyFont="1" applyBorder="1" applyAlignment="1">
      <alignment horizontal="center"/>
    </xf>
    <xf numFmtId="173" fontId="13" fillId="0" borderId="7" xfId="2" applyNumberFormat="1" applyFont="1" applyBorder="1" applyAlignment="1">
      <alignment horizontal="center"/>
    </xf>
    <xf numFmtId="0" fontId="13" fillId="0" borderId="7" xfId="2" applyFont="1" applyBorder="1"/>
    <xf numFmtId="12" fontId="13" fillId="0" borderId="7" xfId="2" applyNumberFormat="1" applyFont="1" applyBorder="1"/>
    <xf numFmtId="43" fontId="12" fillId="6" borderId="7" xfId="1" applyFont="1" applyFill="1" applyBorder="1" applyAlignment="1">
      <alignment horizontal="center"/>
    </xf>
    <xf numFmtId="1" fontId="12" fillId="6" borderId="7" xfId="2" applyNumberFormat="1" applyFont="1" applyFill="1" applyBorder="1" applyAlignment="1">
      <alignment horizontal="center"/>
    </xf>
    <xf numFmtId="12" fontId="13" fillId="0" borderId="0" xfId="2" applyNumberFormat="1" applyFont="1"/>
    <xf numFmtId="0" fontId="13" fillId="0" borderId="0" xfId="2" applyFont="1" applyAlignment="1">
      <alignment horizontal="center"/>
    </xf>
    <xf numFmtId="0" fontId="12" fillId="0" borderId="0" xfId="2" applyFont="1"/>
    <xf numFmtId="1" fontId="13" fillId="0" borderId="0" xfId="2" applyNumberFormat="1" applyFont="1"/>
    <xf numFmtId="14" fontId="18" fillId="13" borderId="7" xfId="2" applyNumberFormat="1" applyFont="1" applyFill="1" applyBorder="1" applyAlignment="1">
      <alignment horizontal="center" vertical="center"/>
    </xf>
    <xf numFmtId="14" fontId="18" fillId="0" borderId="7" xfId="2" applyNumberFormat="1" applyFont="1" applyBorder="1" applyAlignment="1">
      <alignment horizontal="center" vertical="center"/>
    </xf>
    <xf numFmtId="3" fontId="10" fillId="0" borderId="0" xfId="0" applyNumberFormat="1" applyFont="1"/>
    <xf numFmtId="0" fontId="18" fillId="0" borderId="7" xfId="2" applyFont="1" applyBorder="1" applyAlignment="1">
      <alignment horizontal="center"/>
    </xf>
    <xf numFmtId="0" fontId="18" fillId="0" borderId="7" xfId="2" applyFont="1" applyBorder="1" applyAlignment="1">
      <alignment horizontal="left"/>
    </xf>
    <xf numFmtId="3" fontId="18" fillId="0" borderId="7" xfId="2" applyNumberFormat="1" applyFont="1" applyBorder="1" applyAlignment="1">
      <alignment horizontal="center"/>
    </xf>
    <xf numFmtId="3" fontId="24" fillId="0" borderId="7" xfId="2" applyNumberFormat="1" applyFont="1" applyBorder="1" applyAlignment="1">
      <alignment horizontal="center"/>
    </xf>
    <xf numFmtId="14" fontId="18" fillId="11" borderId="7" xfId="2" applyNumberFormat="1" applyFont="1" applyFill="1" applyBorder="1" applyAlignment="1">
      <alignment horizontal="center" vertical="center"/>
    </xf>
    <xf numFmtId="0" fontId="18" fillId="6" borderId="7" xfId="2" applyFont="1" applyFill="1" applyBorder="1" applyAlignment="1">
      <alignment horizontal="left"/>
    </xf>
    <xf numFmtId="0" fontId="18" fillId="11" borderId="7" xfId="2" applyFont="1" applyFill="1" applyBorder="1" applyAlignment="1">
      <alignment horizontal="center"/>
    </xf>
    <xf numFmtId="173" fontId="18" fillId="11" borderId="7" xfId="2" applyNumberFormat="1" applyFont="1" applyFill="1" applyBorder="1" applyAlignment="1">
      <alignment horizontal="center"/>
    </xf>
    <xf numFmtId="1" fontId="18" fillId="6" borderId="7" xfId="2" applyNumberFormat="1" applyFont="1" applyFill="1" applyBorder="1" applyAlignment="1">
      <alignment horizontal="center"/>
    </xf>
    <xf numFmtId="3" fontId="18" fillId="6" borderId="7" xfId="2" applyNumberFormat="1" applyFont="1" applyFill="1" applyBorder="1" applyAlignment="1">
      <alignment horizontal="center"/>
    </xf>
    <xf numFmtId="3" fontId="18" fillId="11" borderId="7" xfId="2" applyNumberFormat="1" applyFont="1" applyFill="1" applyBorder="1" applyAlignment="1">
      <alignment horizontal="center"/>
    </xf>
    <xf numFmtId="1" fontId="18" fillId="0" borderId="7" xfId="2" applyNumberFormat="1" applyFont="1" applyBorder="1" applyAlignment="1">
      <alignment horizontal="center"/>
    </xf>
    <xf numFmtId="3" fontId="18" fillId="0" borderId="7" xfId="2" applyNumberFormat="1" applyFont="1" applyBorder="1"/>
    <xf numFmtId="43" fontId="18" fillId="0" borderId="0" xfId="3" applyFont="1"/>
    <xf numFmtId="43" fontId="18" fillId="0" borderId="0" xfId="2" applyNumberFormat="1" applyFont="1"/>
    <xf numFmtId="0" fontId="18" fillId="14" borderId="7" xfId="2" applyFont="1" applyFill="1" applyBorder="1" applyAlignment="1">
      <alignment horizontal="left"/>
    </xf>
    <xf numFmtId="0" fontId="18" fillId="13" borderId="7" xfId="2" applyFont="1" applyFill="1" applyBorder="1" applyAlignment="1">
      <alignment horizontal="center"/>
    </xf>
    <xf numFmtId="3" fontId="18" fillId="14" borderId="7" xfId="2" applyNumberFormat="1" applyFont="1" applyFill="1" applyBorder="1" applyAlignment="1">
      <alignment horizontal="center"/>
    </xf>
    <xf numFmtId="3" fontId="18" fillId="13" borderId="7" xfId="2" applyNumberFormat="1" applyFont="1" applyFill="1" applyBorder="1" applyAlignment="1">
      <alignment horizontal="center"/>
    </xf>
    <xf numFmtId="3" fontId="24" fillId="13" borderId="7" xfId="2" applyNumberFormat="1" applyFont="1" applyFill="1" applyBorder="1" applyAlignment="1">
      <alignment horizontal="center"/>
    </xf>
    <xf numFmtId="1" fontId="18" fillId="13" borderId="7" xfId="2" applyNumberFormat="1" applyFont="1" applyFill="1" applyBorder="1" applyAlignment="1">
      <alignment horizontal="center"/>
    </xf>
    <xf numFmtId="0" fontId="18" fillId="13" borderId="0" xfId="2" applyFont="1" applyFill="1"/>
    <xf numFmtId="173" fontId="18" fillId="0" borderId="7" xfId="2" applyNumberFormat="1" applyFont="1" applyBorder="1" applyAlignment="1">
      <alignment horizontal="center"/>
    </xf>
    <xf numFmtId="0" fontId="11" fillId="0" borderId="7" xfId="2" applyFont="1" applyBorder="1"/>
    <xf numFmtId="172" fontId="12" fillId="8" borderId="7" xfId="2" applyNumberFormat="1" applyFont="1" applyFill="1" applyBorder="1" applyAlignment="1">
      <alignment horizontal="center" wrapText="1"/>
    </xf>
    <xf numFmtId="0" fontId="9" fillId="3" borderId="2" xfId="0" applyFont="1" applyFill="1" applyBorder="1" applyAlignment="1">
      <alignment horizontal="center" wrapText="1"/>
    </xf>
    <xf numFmtId="0" fontId="11" fillId="0" borderId="3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9" fillId="4" borderId="2" xfId="0" applyFont="1" applyFill="1" applyBorder="1" applyAlignment="1">
      <alignment horizontal="center" wrapText="1"/>
    </xf>
    <xf numFmtId="0" fontId="9" fillId="5" borderId="2" xfId="0" applyFont="1" applyFill="1" applyBorder="1" applyAlignment="1">
      <alignment horizontal="center" wrapText="1"/>
    </xf>
    <xf numFmtId="0" fontId="2" fillId="5" borderId="8" xfId="0" applyFont="1" applyFill="1" applyBorder="1" applyAlignment="1">
      <alignment horizontal="center"/>
    </xf>
    <xf numFmtId="0" fontId="1" fillId="0" borderId="6" xfId="0" applyFont="1" applyBorder="1"/>
    <xf numFmtId="0" fontId="1" fillId="0" borderId="9" xfId="0" applyFont="1" applyBorder="1"/>
  </cellXfs>
  <cellStyles count="6">
    <cellStyle name="Comma" xfId="1" builtinId="3"/>
    <cellStyle name="Comma 2" xfId="3" xr:uid="{8411750A-35CA-422F-98AA-BC23BAD5999A}"/>
    <cellStyle name="Normal" xfId="0" builtinId="0"/>
    <cellStyle name="Normal 2" xfId="4" xr:uid="{A13BD61D-976B-4218-99F1-E4FBFE4F45E7}"/>
    <cellStyle name="Normal 2 3" xfId="2" xr:uid="{A655115D-ACFF-48B6-8727-614AA79AE6FA}"/>
    <cellStyle name="Normal 3" xfId="5" xr:uid="{C0E5B860-35A9-44F3-B3ED-A31D93C1E97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5B1E2-E352-4A84-9FD7-86A2EBCC3A98}">
  <dimension ref="A1:AT91"/>
  <sheetViews>
    <sheetView tabSelected="1" zoomScale="88" zoomScaleNormal="100" workbookViewId="0">
      <pane xSplit="4" ySplit="2" topLeftCell="E72" activePane="bottomRight" state="frozen"/>
      <selection activeCell="T433" sqref="T433:T434"/>
      <selection pane="topRight" activeCell="T433" sqref="T433:T434"/>
      <selection pane="bottomLeft" activeCell="T433" sqref="T433:T434"/>
      <selection pane="bottomRight" activeCell="P72" sqref="P72"/>
    </sheetView>
  </sheetViews>
  <sheetFormatPr defaultColWidth="14.453125" defaultRowHeight="12" x14ac:dyDescent="0.3"/>
  <cols>
    <col min="1" max="1" width="4.90625" style="72" bestFit="1" customWidth="1"/>
    <col min="2" max="2" width="10.1796875" style="72" bestFit="1" customWidth="1"/>
    <col min="3" max="3" width="11.453125" style="72" bestFit="1" customWidth="1"/>
    <col min="4" max="4" width="25.453125" style="72" bestFit="1" customWidth="1"/>
    <col min="5" max="5" width="13.453125" style="72" bestFit="1" customWidth="1"/>
    <col min="6" max="6" width="15.90625" style="111" hidden="1" customWidth="1"/>
    <col min="7" max="10" width="13.453125" style="72" hidden="1" customWidth="1"/>
    <col min="11" max="11" width="9" style="72" hidden="1" customWidth="1"/>
    <col min="12" max="12" width="10.453125" style="112" hidden="1" customWidth="1"/>
    <col min="13" max="13" width="14.453125" style="112" bestFit="1" customWidth="1"/>
    <col min="14" max="14" width="12.81640625" style="72" bestFit="1" customWidth="1"/>
    <col min="15" max="15" width="8.08984375" style="114" customWidth="1"/>
    <col min="16" max="16" width="16" style="72" bestFit="1" customWidth="1"/>
    <col min="17" max="17" width="7.81640625" style="72" bestFit="1" customWidth="1"/>
    <col min="18" max="18" width="10.26953125" style="72" bestFit="1" customWidth="1"/>
    <col min="19" max="19" width="7.36328125" style="72" bestFit="1" customWidth="1"/>
    <col min="20" max="20" width="9.08984375" style="72" bestFit="1" customWidth="1"/>
    <col min="21" max="21" width="14.08984375" style="72" bestFit="1" customWidth="1"/>
    <col min="22" max="22" width="13.54296875" style="113" bestFit="1" customWidth="1"/>
    <col min="23" max="23" width="8.1796875" style="72" bestFit="1" customWidth="1"/>
    <col min="24" max="24" width="12.54296875" style="72" bestFit="1" customWidth="1"/>
    <col min="25" max="25" width="12.81640625" style="113" bestFit="1" customWidth="1"/>
    <col min="26" max="26" width="13.54296875" style="72" bestFit="1" customWidth="1"/>
    <col min="27" max="27" width="10.26953125" style="72" bestFit="1" customWidth="1"/>
    <col min="28" max="28" width="12.08984375" style="72" bestFit="1" customWidth="1"/>
    <col min="29" max="29" width="7.90625" style="72" bestFit="1" customWidth="1"/>
    <col min="30" max="30" width="12.81640625" style="72" bestFit="1" customWidth="1"/>
    <col min="31" max="31" width="14.54296875" style="72" bestFit="1" customWidth="1"/>
    <col min="32" max="32" width="13.36328125" style="72" bestFit="1" customWidth="1"/>
    <col min="33" max="33" width="12.81640625" style="72" bestFit="1" customWidth="1"/>
    <col min="34" max="34" width="7.81640625" style="72" bestFit="1" customWidth="1"/>
    <col min="35" max="35" width="11.36328125" style="72" customWidth="1"/>
    <col min="36" max="36" width="9.08984375" style="72" customWidth="1"/>
    <col min="37" max="37" width="8.7265625" style="72" customWidth="1"/>
    <col min="38" max="38" width="8.90625" style="72" bestFit="1" customWidth="1"/>
    <col min="39" max="39" width="14.54296875" style="72" bestFit="1" customWidth="1"/>
    <col min="40" max="40" width="12.36328125" style="72" bestFit="1" customWidth="1"/>
    <col min="41" max="41" width="13.26953125" style="72" bestFit="1" customWidth="1"/>
    <col min="42" max="16384" width="14.453125" style="72"/>
  </cols>
  <sheetData>
    <row r="1" spans="1:46" ht="24" customHeight="1" x14ac:dyDescent="0.3">
      <c r="A1" s="68"/>
      <c r="B1" s="68"/>
      <c r="C1" s="68"/>
      <c r="D1" s="69"/>
      <c r="E1" s="69"/>
      <c r="F1" s="70"/>
      <c r="G1" s="69"/>
      <c r="H1" s="69"/>
      <c r="I1" s="69"/>
      <c r="J1" s="69"/>
      <c r="K1" s="69"/>
      <c r="L1" s="69"/>
      <c r="M1" s="69"/>
      <c r="N1" s="69"/>
      <c r="O1" s="71">
        <v>28</v>
      </c>
      <c r="P1" s="69"/>
      <c r="Q1" s="69"/>
      <c r="R1" s="68"/>
      <c r="S1" s="68"/>
      <c r="T1" s="68"/>
      <c r="U1" s="69"/>
      <c r="V1" s="69"/>
      <c r="W1" s="69"/>
      <c r="X1" s="69"/>
      <c r="Y1" s="69"/>
      <c r="Z1" s="69"/>
      <c r="AA1" s="69"/>
      <c r="AB1" s="142" t="s">
        <v>257</v>
      </c>
      <c r="AC1" s="142"/>
      <c r="AD1" s="142"/>
      <c r="AE1" s="142" t="s">
        <v>258</v>
      </c>
      <c r="AF1" s="142"/>
      <c r="AG1" s="142"/>
      <c r="AH1" s="142" t="s">
        <v>259</v>
      </c>
      <c r="AI1" s="142"/>
      <c r="AJ1" s="141"/>
      <c r="AK1" s="141"/>
      <c r="AL1" s="141"/>
      <c r="AM1" s="141"/>
      <c r="AN1" s="69"/>
    </row>
    <row r="2" spans="1:46" s="81" customFormat="1" ht="36" x14ac:dyDescent="0.3">
      <c r="A2" s="73" t="s">
        <v>260</v>
      </c>
      <c r="B2" s="73" t="s">
        <v>32</v>
      </c>
      <c r="C2" s="73" t="s">
        <v>251</v>
      </c>
      <c r="D2" s="73" t="s">
        <v>261</v>
      </c>
      <c r="E2" s="73" t="s">
        <v>262</v>
      </c>
      <c r="F2" s="74" t="s">
        <v>263</v>
      </c>
      <c r="G2" s="75" t="s">
        <v>264</v>
      </c>
      <c r="H2" s="75" t="s">
        <v>265</v>
      </c>
      <c r="I2" s="75" t="s">
        <v>266</v>
      </c>
      <c r="J2" s="75" t="s">
        <v>267</v>
      </c>
      <c r="K2" s="73" t="s">
        <v>268</v>
      </c>
      <c r="L2" s="73" t="s">
        <v>269</v>
      </c>
      <c r="M2" s="73" t="s">
        <v>270</v>
      </c>
      <c r="N2" s="73" t="s">
        <v>8</v>
      </c>
      <c r="O2" s="76" t="s">
        <v>271</v>
      </c>
      <c r="P2" s="73" t="s">
        <v>272</v>
      </c>
      <c r="Q2" s="73" t="s">
        <v>273</v>
      </c>
      <c r="R2" s="73" t="s">
        <v>274</v>
      </c>
      <c r="S2" s="73" t="s">
        <v>275</v>
      </c>
      <c r="T2" s="73" t="s">
        <v>276</v>
      </c>
      <c r="U2" s="73" t="s">
        <v>277</v>
      </c>
      <c r="V2" s="73" t="s">
        <v>278</v>
      </c>
      <c r="W2" s="73" t="s">
        <v>479</v>
      </c>
      <c r="X2" s="73" t="s">
        <v>279</v>
      </c>
      <c r="Y2" s="73" t="s">
        <v>280</v>
      </c>
      <c r="Z2" s="73" t="s">
        <v>281</v>
      </c>
      <c r="AA2" s="73" t="s">
        <v>282</v>
      </c>
      <c r="AB2" s="73" t="s">
        <v>283</v>
      </c>
      <c r="AC2" s="73" t="s">
        <v>284</v>
      </c>
      <c r="AD2" s="73" t="s">
        <v>285</v>
      </c>
      <c r="AE2" s="73" t="s">
        <v>286</v>
      </c>
      <c r="AF2" s="73" t="s">
        <v>287</v>
      </c>
      <c r="AG2" s="73" t="s">
        <v>288</v>
      </c>
      <c r="AH2" s="73" t="s">
        <v>289</v>
      </c>
      <c r="AI2" s="77" t="s">
        <v>290</v>
      </c>
      <c r="AJ2" s="78" t="s">
        <v>291</v>
      </c>
      <c r="AK2" s="73" t="s">
        <v>292</v>
      </c>
      <c r="AL2" s="73" t="s">
        <v>293</v>
      </c>
      <c r="AM2" s="73" t="s">
        <v>294</v>
      </c>
      <c r="AN2" s="73" t="s">
        <v>295</v>
      </c>
      <c r="AO2" s="79" t="s">
        <v>296</v>
      </c>
      <c r="AP2" s="80" t="s">
        <v>297</v>
      </c>
      <c r="AQ2" s="81" t="s">
        <v>298</v>
      </c>
      <c r="AR2" s="81" t="s">
        <v>299</v>
      </c>
    </row>
    <row r="3" spans="1:46" s="98" customFormat="1" x14ac:dyDescent="0.3">
      <c r="A3" s="118">
        <v>1</v>
      </c>
      <c r="B3" s="116" t="s">
        <v>236</v>
      </c>
      <c r="C3" s="122">
        <v>43983</v>
      </c>
      <c r="D3" s="123"/>
      <c r="E3" s="124" t="s">
        <v>300</v>
      </c>
      <c r="F3" s="87">
        <v>50100302993158</v>
      </c>
      <c r="G3" s="86" t="s">
        <v>301</v>
      </c>
      <c r="H3" s="86" t="s">
        <v>302</v>
      </c>
      <c r="I3" s="86" t="s">
        <v>303</v>
      </c>
      <c r="J3" s="86">
        <v>5216260893</v>
      </c>
      <c r="K3" s="88">
        <v>35560</v>
      </c>
      <c r="L3" s="89" t="s">
        <v>304</v>
      </c>
      <c r="M3" s="125" t="s">
        <v>305</v>
      </c>
      <c r="N3" s="116">
        <f>VLOOKUP(B3,'Anchor-Attendance'!$B$4:$K$84,10,0)</f>
        <v>46072</v>
      </c>
      <c r="O3" s="126">
        <f>VLOOKUP(B3,'Anchor-Attendance'!$B$4:$BB$84,53,0)</f>
        <v>19</v>
      </c>
      <c r="P3" s="127">
        <v>12360</v>
      </c>
      <c r="Q3" s="120">
        <f t="shared" ref="Q3:Q62" si="0">P3/$O$1*O3</f>
        <v>8387.1428571428569</v>
      </c>
      <c r="R3" s="128">
        <f t="shared" ref="R3:R29" si="1">Q3*100%</f>
        <v>8387.1428571428569</v>
      </c>
      <c r="S3" s="128">
        <v>0</v>
      </c>
      <c r="T3" s="128">
        <v>0</v>
      </c>
      <c r="U3" s="128">
        <v>0</v>
      </c>
      <c r="V3" s="121">
        <f t="shared" ref="V3:V8" si="2">ROUND(SUM(R3:U3),0)</f>
        <v>8387</v>
      </c>
      <c r="W3" s="128">
        <f>12360-V3</f>
        <v>3973</v>
      </c>
      <c r="X3" s="128">
        <f t="shared" ref="X3:X4" si="3">AR3</f>
        <v>42785</v>
      </c>
      <c r="Y3" s="121">
        <f>SUM(V3:X3)</f>
        <v>55145</v>
      </c>
      <c r="Z3" s="120">
        <f t="shared" ref="Z3:Z62" si="4">ROUND(SUM(R3:U3)-S3,0)</f>
        <v>8387</v>
      </c>
      <c r="AA3" s="120">
        <f t="shared" ref="AA3:AA62" si="5">ROUND(IF(Z3&gt;15000,15000,Z3),0)</f>
        <v>8387</v>
      </c>
      <c r="AB3" s="120">
        <f t="shared" ref="AB3:AB62" si="6">ROUND(IF(Z3&gt;15000,1800,Z3*12%),0)</f>
        <v>1006</v>
      </c>
      <c r="AC3" s="124">
        <v>0</v>
      </c>
      <c r="AD3" s="118">
        <f t="shared" ref="AD3:AD62" si="7">ROUNDUP(IF(P3&gt;21000,0,(Y3-X3)*0.75%),0)</f>
        <v>93</v>
      </c>
      <c r="AE3" s="128">
        <f t="shared" ref="AE3:AE62" si="8">ROUND(AB3/12%*8.33%,0)</f>
        <v>698</v>
      </c>
      <c r="AF3" s="128">
        <f t="shared" ref="AF3:AF62" si="9">+AB3-AE3</f>
        <v>308</v>
      </c>
      <c r="AG3" s="129">
        <f t="shared" ref="AG3:AG62" si="10">IF(P3&gt;21000,0,(Y3-X3)*3.25%)</f>
        <v>401.7</v>
      </c>
      <c r="AH3" s="120">
        <v>0</v>
      </c>
      <c r="AI3" s="120">
        <v>0</v>
      </c>
      <c r="AJ3" s="128">
        <v>0</v>
      </c>
      <c r="AK3" s="118">
        <f t="shared" ref="AK3:AK62" si="11">IF((Y3-X3)&gt;=20001,200,IF((Y3-X3)&gt;=15001,150,0))</f>
        <v>0</v>
      </c>
      <c r="AL3" s="118">
        <v>0</v>
      </c>
      <c r="AM3" s="128">
        <f t="shared" ref="AM3:AM62" si="12">AB3+AD3+AL3</f>
        <v>1099</v>
      </c>
      <c r="AN3" s="128">
        <f>SUM(ROUND((Y3)-(AH3+AI3+AJ3+AK3+AM3),0),0)</f>
        <v>54046</v>
      </c>
      <c r="AO3" s="130" t="s">
        <v>480</v>
      </c>
      <c r="AP3" s="101">
        <f>ROUND((N3-C3)/365,0)</f>
        <v>6</v>
      </c>
      <c r="AQ3" s="103">
        <f t="shared" ref="AQ3:AQ4" si="13">P3</f>
        <v>12360</v>
      </c>
      <c r="AR3" s="103">
        <f t="shared" ref="AR3:AR4" si="14">ROUND(AQ3*15/26*AP3,0)</f>
        <v>42785</v>
      </c>
      <c r="AS3" s="131"/>
      <c r="AT3" s="132"/>
    </row>
    <row r="4" spans="1:46" s="98" customFormat="1" x14ac:dyDescent="0.3">
      <c r="A4" s="118">
        <f>A3+1</f>
        <v>2</v>
      </c>
      <c r="B4" s="116" t="s">
        <v>239</v>
      </c>
      <c r="C4" s="122">
        <v>43983</v>
      </c>
      <c r="D4" s="123"/>
      <c r="E4" s="124" t="s">
        <v>300</v>
      </c>
      <c r="F4" s="87">
        <v>50100326226811</v>
      </c>
      <c r="G4" s="86" t="s">
        <v>301</v>
      </c>
      <c r="H4" s="86" t="s">
        <v>307</v>
      </c>
      <c r="I4" s="86" t="s">
        <v>308</v>
      </c>
      <c r="J4" s="86">
        <v>5216240667</v>
      </c>
      <c r="K4" s="88">
        <v>34141</v>
      </c>
      <c r="L4" s="89" t="s">
        <v>304</v>
      </c>
      <c r="M4" s="125" t="s">
        <v>305</v>
      </c>
      <c r="N4" s="116">
        <f>VLOOKUP(B4,'Anchor-Attendance'!$B$4:$K$84,10,0)</f>
        <v>46072</v>
      </c>
      <c r="O4" s="126">
        <f>VLOOKUP(B4,'Anchor-Attendance'!$B$4:$BB$84,53,0)</f>
        <v>19</v>
      </c>
      <c r="P4" s="127">
        <v>12360</v>
      </c>
      <c r="Q4" s="120">
        <f t="shared" si="0"/>
        <v>8387.1428571428569</v>
      </c>
      <c r="R4" s="128">
        <f t="shared" si="1"/>
        <v>8387.1428571428569</v>
      </c>
      <c r="S4" s="128">
        <v>0</v>
      </c>
      <c r="T4" s="128">
        <v>0</v>
      </c>
      <c r="U4" s="128">
        <v>0</v>
      </c>
      <c r="V4" s="121">
        <f t="shared" si="2"/>
        <v>8387</v>
      </c>
      <c r="W4" s="128">
        <f>12360-V4</f>
        <v>3973</v>
      </c>
      <c r="X4" s="128">
        <f t="shared" si="3"/>
        <v>42785</v>
      </c>
      <c r="Y4" s="121">
        <f t="shared" ref="Y4:Y63" si="15">SUM(V4:X4)</f>
        <v>55145</v>
      </c>
      <c r="Z4" s="120">
        <f t="shared" si="4"/>
        <v>8387</v>
      </c>
      <c r="AA4" s="120">
        <f t="shared" si="5"/>
        <v>8387</v>
      </c>
      <c r="AB4" s="120">
        <f t="shared" si="6"/>
        <v>1006</v>
      </c>
      <c r="AC4" s="124">
        <v>0</v>
      </c>
      <c r="AD4" s="118">
        <f t="shared" si="7"/>
        <v>93</v>
      </c>
      <c r="AE4" s="128">
        <f t="shared" si="8"/>
        <v>698</v>
      </c>
      <c r="AF4" s="128">
        <f t="shared" si="9"/>
        <v>308</v>
      </c>
      <c r="AG4" s="129">
        <f t="shared" si="10"/>
        <v>401.7</v>
      </c>
      <c r="AH4" s="120">
        <v>0</v>
      </c>
      <c r="AI4" s="120">
        <v>0</v>
      </c>
      <c r="AJ4" s="128">
        <v>0</v>
      </c>
      <c r="AK4" s="124">
        <f t="shared" si="11"/>
        <v>0</v>
      </c>
      <c r="AL4" s="118">
        <v>0</v>
      </c>
      <c r="AM4" s="128">
        <f t="shared" si="12"/>
        <v>1099</v>
      </c>
      <c r="AN4" s="128">
        <f t="shared" ref="AN4:AN63" si="16">SUM(ROUND((Y4)-(AH4+AI4+AJ4+AK4+AM4),0),0)</f>
        <v>54046</v>
      </c>
      <c r="AO4" s="130" t="s">
        <v>480</v>
      </c>
      <c r="AP4" s="101">
        <f>ROUND((N4-C4)/365,0)</f>
        <v>6</v>
      </c>
      <c r="AQ4" s="103">
        <f t="shared" si="13"/>
        <v>12360</v>
      </c>
      <c r="AR4" s="103">
        <f t="shared" si="14"/>
        <v>42785</v>
      </c>
      <c r="AS4" s="131"/>
      <c r="AT4" s="132"/>
    </row>
    <row r="5" spans="1:46" x14ac:dyDescent="0.3">
      <c r="A5" s="82">
        <f t="shared" ref="A5:A36" si="17">A4+1</f>
        <v>3</v>
      </c>
      <c r="B5" s="83" t="s">
        <v>193</v>
      </c>
      <c r="C5" s="84">
        <v>43983</v>
      </c>
      <c r="D5" s="85"/>
      <c r="E5" s="86" t="s">
        <v>300</v>
      </c>
      <c r="F5" s="87">
        <v>50100302993145</v>
      </c>
      <c r="G5" s="86" t="s">
        <v>301</v>
      </c>
      <c r="H5" s="86" t="s">
        <v>309</v>
      </c>
      <c r="I5" s="86" t="s">
        <v>310</v>
      </c>
      <c r="J5" s="86">
        <v>5216601062</v>
      </c>
      <c r="K5" s="88">
        <v>35958</v>
      </c>
      <c r="L5" s="89" t="s">
        <v>304</v>
      </c>
      <c r="M5" s="89" t="s">
        <v>305</v>
      </c>
      <c r="N5" s="83" t="s">
        <v>306</v>
      </c>
      <c r="O5" s="90">
        <f>VLOOKUP(B5,'Anchor-Attendance'!$B$4:$BB$84,53,0)</f>
        <v>28</v>
      </c>
      <c r="P5" s="91">
        <v>12360</v>
      </c>
      <c r="Q5" s="92">
        <f t="shared" si="0"/>
        <v>12360</v>
      </c>
      <c r="R5" s="93">
        <f t="shared" si="1"/>
        <v>12360</v>
      </c>
      <c r="S5" s="93">
        <v>0</v>
      </c>
      <c r="T5" s="93">
        <v>0</v>
      </c>
      <c r="U5" s="93">
        <v>0</v>
      </c>
      <c r="V5" s="94">
        <f t="shared" si="2"/>
        <v>12360</v>
      </c>
      <c r="W5" s="93">
        <v>0</v>
      </c>
      <c r="X5" s="93">
        <v>0</v>
      </c>
      <c r="Y5" s="94">
        <f t="shared" si="15"/>
        <v>12360</v>
      </c>
      <c r="Z5" s="92">
        <f t="shared" si="4"/>
        <v>12360</v>
      </c>
      <c r="AA5" s="92">
        <f t="shared" si="5"/>
        <v>12360</v>
      </c>
      <c r="AB5" s="92">
        <f t="shared" si="6"/>
        <v>1483</v>
      </c>
      <c r="AC5" s="86">
        <v>0</v>
      </c>
      <c r="AD5" s="82">
        <f t="shared" si="7"/>
        <v>93</v>
      </c>
      <c r="AE5" s="93">
        <f t="shared" si="8"/>
        <v>1029</v>
      </c>
      <c r="AF5" s="93">
        <f t="shared" si="9"/>
        <v>454</v>
      </c>
      <c r="AG5" s="95">
        <f t="shared" si="10"/>
        <v>401.7</v>
      </c>
      <c r="AH5" s="92">
        <v>0</v>
      </c>
      <c r="AI5" s="92">
        <v>0</v>
      </c>
      <c r="AJ5" s="93">
        <v>0</v>
      </c>
      <c r="AK5" s="86">
        <f t="shared" si="11"/>
        <v>0</v>
      </c>
      <c r="AL5" s="96">
        <v>0</v>
      </c>
      <c r="AM5" s="93">
        <f t="shared" si="12"/>
        <v>1576</v>
      </c>
      <c r="AN5" s="93">
        <f t="shared" si="16"/>
        <v>10784</v>
      </c>
      <c r="AO5" s="97"/>
      <c r="AR5" s="99"/>
      <c r="AS5" s="99"/>
      <c r="AT5" s="100"/>
    </row>
    <row r="6" spans="1:46" x14ac:dyDescent="0.3">
      <c r="A6" s="82">
        <f t="shared" si="17"/>
        <v>4</v>
      </c>
      <c r="B6" s="83" t="s">
        <v>67</v>
      </c>
      <c r="C6" s="84">
        <v>43983</v>
      </c>
      <c r="D6" s="85"/>
      <c r="E6" s="86" t="s">
        <v>300</v>
      </c>
      <c r="F6" s="87">
        <v>50100302993694</v>
      </c>
      <c r="G6" s="86" t="s">
        <v>301</v>
      </c>
      <c r="H6" s="86" t="s">
        <v>311</v>
      </c>
      <c r="I6" s="86" t="s">
        <v>312</v>
      </c>
      <c r="J6" s="86">
        <v>5216242698</v>
      </c>
      <c r="K6" s="88">
        <v>35266</v>
      </c>
      <c r="L6" s="89" t="s">
        <v>304</v>
      </c>
      <c r="M6" s="89" t="s">
        <v>305</v>
      </c>
      <c r="N6" s="83" t="s">
        <v>306</v>
      </c>
      <c r="O6" s="90">
        <f>VLOOKUP(B6,'Anchor-Attendance'!$B$4:$BB$84,53,0)</f>
        <v>28</v>
      </c>
      <c r="P6" s="91">
        <v>12360</v>
      </c>
      <c r="Q6" s="92">
        <f t="shared" si="0"/>
        <v>12360</v>
      </c>
      <c r="R6" s="93">
        <f t="shared" si="1"/>
        <v>12360</v>
      </c>
      <c r="S6" s="93">
        <v>0</v>
      </c>
      <c r="T6" s="93">
        <v>0</v>
      </c>
      <c r="U6" s="93">
        <v>0</v>
      </c>
      <c r="V6" s="94">
        <f t="shared" si="2"/>
        <v>12360</v>
      </c>
      <c r="W6" s="93">
        <v>0</v>
      </c>
      <c r="X6" s="93">
        <v>0</v>
      </c>
      <c r="Y6" s="94">
        <f t="shared" si="15"/>
        <v>12360</v>
      </c>
      <c r="Z6" s="92">
        <f t="shared" si="4"/>
        <v>12360</v>
      </c>
      <c r="AA6" s="92">
        <f t="shared" si="5"/>
        <v>12360</v>
      </c>
      <c r="AB6" s="92">
        <f t="shared" si="6"/>
        <v>1483</v>
      </c>
      <c r="AC6" s="86">
        <v>0</v>
      </c>
      <c r="AD6" s="82">
        <f t="shared" si="7"/>
        <v>93</v>
      </c>
      <c r="AE6" s="93">
        <f t="shared" si="8"/>
        <v>1029</v>
      </c>
      <c r="AF6" s="93">
        <f t="shared" si="9"/>
        <v>454</v>
      </c>
      <c r="AG6" s="95">
        <f t="shared" si="10"/>
        <v>401.7</v>
      </c>
      <c r="AH6" s="92">
        <v>0</v>
      </c>
      <c r="AI6" s="92">
        <v>0</v>
      </c>
      <c r="AJ6" s="93">
        <v>0</v>
      </c>
      <c r="AK6" s="86">
        <f t="shared" si="11"/>
        <v>0</v>
      </c>
      <c r="AL6" s="96">
        <v>0</v>
      </c>
      <c r="AM6" s="93">
        <f t="shared" si="12"/>
        <v>1576</v>
      </c>
      <c r="AN6" s="93">
        <f t="shared" si="16"/>
        <v>10784</v>
      </c>
      <c r="AO6" s="97"/>
      <c r="AR6" s="99"/>
      <c r="AS6" s="99"/>
      <c r="AT6" s="100"/>
    </row>
    <row r="7" spans="1:46" x14ac:dyDescent="0.3">
      <c r="A7" s="82">
        <f t="shared" si="17"/>
        <v>5</v>
      </c>
      <c r="B7" s="83" t="s">
        <v>202</v>
      </c>
      <c r="C7" s="84">
        <v>44075</v>
      </c>
      <c r="D7" s="85"/>
      <c r="E7" s="86" t="s">
        <v>300</v>
      </c>
      <c r="F7" s="87">
        <v>50100373849809</v>
      </c>
      <c r="G7" s="86" t="s">
        <v>301</v>
      </c>
      <c r="H7" s="86" t="s">
        <v>313</v>
      </c>
      <c r="I7" s="86" t="s">
        <v>314</v>
      </c>
      <c r="J7" s="86">
        <v>5216743492</v>
      </c>
      <c r="K7" s="88">
        <v>35292</v>
      </c>
      <c r="L7" s="89" t="s">
        <v>304</v>
      </c>
      <c r="M7" s="89" t="s">
        <v>305</v>
      </c>
      <c r="N7" s="83" t="s">
        <v>306</v>
      </c>
      <c r="O7" s="90">
        <f>VLOOKUP(B7,'Anchor-Attendance'!$B$4:$BB$84,53,0)</f>
        <v>28</v>
      </c>
      <c r="P7" s="91">
        <v>12360</v>
      </c>
      <c r="Q7" s="92">
        <f t="shared" si="0"/>
        <v>12360</v>
      </c>
      <c r="R7" s="93">
        <f t="shared" si="1"/>
        <v>12360</v>
      </c>
      <c r="S7" s="93">
        <v>0</v>
      </c>
      <c r="T7" s="93">
        <v>0</v>
      </c>
      <c r="U7" s="93">
        <v>0</v>
      </c>
      <c r="V7" s="94">
        <f t="shared" si="2"/>
        <v>12360</v>
      </c>
      <c r="W7" s="93">
        <v>0</v>
      </c>
      <c r="X7" s="93">
        <v>0</v>
      </c>
      <c r="Y7" s="94">
        <f t="shared" si="15"/>
        <v>12360</v>
      </c>
      <c r="Z7" s="92">
        <f t="shared" si="4"/>
        <v>12360</v>
      </c>
      <c r="AA7" s="92">
        <f t="shared" si="5"/>
        <v>12360</v>
      </c>
      <c r="AB7" s="92">
        <f t="shared" si="6"/>
        <v>1483</v>
      </c>
      <c r="AC7" s="86">
        <v>0</v>
      </c>
      <c r="AD7" s="82">
        <f t="shared" si="7"/>
        <v>93</v>
      </c>
      <c r="AE7" s="93">
        <f t="shared" si="8"/>
        <v>1029</v>
      </c>
      <c r="AF7" s="93">
        <f t="shared" si="9"/>
        <v>454</v>
      </c>
      <c r="AG7" s="95">
        <f t="shared" si="10"/>
        <v>401.7</v>
      </c>
      <c r="AH7" s="92">
        <v>0</v>
      </c>
      <c r="AI7" s="92">
        <v>0</v>
      </c>
      <c r="AJ7" s="93">
        <v>0</v>
      </c>
      <c r="AK7" s="86">
        <f t="shared" si="11"/>
        <v>0</v>
      </c>
      <c r="AL7" s="96">
        <v>0</v>
      </c>
      <c r="AM7" s="93">
        <f t="shared" si="12"/>
        <v>1576</v>
      </c>
      <c r="AN7" s="93">
        <f t="shared" si="16"/>
        <v>10784</v>
      </c>
      <c r="AO7" s="97"/>
      <c r="AR7" s="99"/>
      <c r="AS7" s="99"/>
      <c r="AT7" s="100"/>
    </row>
    <row r="8" spans="1:46" x14ac:dyDescent="0.3">
      <c r="A8" s="82">
        <f t="shared" si="17"/>
        <v>6</v>
      </c>
      <c r="B8" s="83" t="s">
        <v>56</v>
      </c>
      <c r="C8" s="84">
        <v>44075</v>
      </c>
      <c r="D8" s="85"/>
      <c r="E8" s="86" t="s">
        <v>300</v>
      </c>
      <c r="F8" s="87">
        <v>50100373849555</v>
      </c>
      <c r="G8" s="86" t="s">
        <v>301</v>
      </c>
      <c r="H8" s="86" t="s">
        <v>315</v>
      </c>
      <c r="I8" s="86" t="s">
        <v>316</v>
      </c>
      <c r="J8" s="86">
        <v>5216745322</v>
      </c>
      <c r="K8" s="88">
        <v>36741</v>
      </c>
      <c r="L8" s="89" t="s">
        <v>304</v>
      </c>
      <c r="M8" s="89" t="s">
        <v>305</v>
      </c>
      <c r="N8" s="83" t="s">
        <v>306</v>
      </c>
      <c r="O8" s="90">
        <f>VLOOKUP(B8,'Anchor-Attendance'!$B$4:$BB$84,53,0)</f>
        <v>28</v>
      </c>
      <c r="P8" s="91">
        <v>12360</v>
      </c>
      <c r="Q8" s="92">
        <f t="shared" si="0"/>
        <v>12360</v>
      </c>
      <c r="R8" s="93">
        <f t="shared" si="1"/>
        <v>12360</v>
      </c>
      <c r="S8" s="93">
        <v>0</v>
      </c>
      <c r="T8" s="93">
        <v>0</v>
      </c>
      <c r="U8" s="93">
        <v>0</v>
      </c>
      <c r="V8" s="94">
        <f t="shared" si="2"/>
        <v>12360</v>
      </c>
      <c r="W8" s="93">
        <v>0</v>
      </c>
      <c r="X8" s="93">
        <v>0</v>
      </c>
      <c r="Y8" s="94">
        <f t="shared" si="15"/>
        <v>12360</v>
      </c>
      <c r="Z8" s="92">
        <f t="shared" si="4"/>
        <v>12360</v>
      </c>
      <c r="AA8" s="92">
        <f t="shared" si="5"/>
        <v>12360</v>
      </c>
      <c r="AB8" s="92">
        <f t="shared" si="6"/>
        <v>1483</v>
      </c>
      <c r="AC8" s="86">
        <v>0</v>
      </c>
      <c r="AD8" s="82">
        <f t="shared" si="7"/>
        <v>93</v>
      </c>
      <c r="AE8" s="93">
        <f t="shared" si="8"/>
        <v>1029</v>
      </c>
      <c r="AF8" s="93">
        <f t="shared" si="9"/>
        <v>454</v>
      </c>
      <c r="AG8" s="95">
        <f t="shared" si="10"/>
        <v>401.7</v>
      </c>
      <c r="AH8" s="92">
        <v>0</v>
      </c>
      <c r="AI8" s="92">
        <v>0</v>
      </c>
      <c r="AJ8" s="93">
        <v>0</v>
      </c>
      <c r="AK8" s="86">
        <f t="shared" si="11"/>
        <v>0</v>
      </c>
      <c r="AL8" s="96">
        <v>0</v>
      </c>
      <c r="AM8" s="93">
        <f t="shared" si="12"/>
        <v>1576</v>
      </c>
      <c r="AN8" s="93">
        <f t="shared" si="16"/>
        <v>10784</v>
      </c>
      <c r="AO8" s="97"/>
      <c r="AR8" s="99"/>
      <c r="AS8" s="99"/>
      <c r="AT8" s="100"/>
    </row>
    <row r="9" spans="1:46" x14ac:dyDescent="0.3">
      <c r="A9" s="82">
        <f t="shared" si="17"/>
        <v>7</v>
      </c>
      <c r="B9" s="83" t="s">
        <v>131</v>
      </c>
      <c r="C9" s="84">
        <v>44131</v>
      </c>
      <c r="D9" s="85"/>
      <c r="E9" s="86" t="s">
        <v>300</v>
      </c>
      <c r="F9" s="87">
        <v>50100389932244</v>
      </c>
      <c r="G9" s="86" t="s">
        <v>317</v>
      </c>
      <c r="H9" s="86" t="s">
        <v>318</v>
      </c>
      <c r="I9" s="86" t="s">
        <v>319</v>
      </c>
      <c r="J9" s="86">
        <v>5216892953</v>
      </c>
      <c r="K9" s="88">
        <v>35455</v>
      </c>
      <c r="L9" s="89" t="s">
        <v>304</v>
      </c>
      <c r="M9" s="89" t="s">
        <v>305</v>
      </c>
      <c r="N9" s="83" t="s">
        <v>306</v>
      </c>
      <c r="O9" s="90">
        <f>VLOOKUP(B9,'Anchor-Attendance'!$B$4:$BB$84,53,0)</f>
        <v>28</v>
      </c>
      <c r="P9" s="91">
        <v>12360</v>
      </c>
      <c r="Q9" s="92">
        <f t="shared" si="0"/>
        <v>12360</v>
      </c>
      <c r="R9" s="93">
        <f t="shared" si="1"/>
        <v>12360</v>
      </c>
      <c r="S9" s="93">
        <v>0</v>
      </c>
      <c r="T9" s="93">
        <v>0</v>
      </c>
      <c r="U9" s="93">
        <v>0</v>
      </c>
      <c r="V9" s="94">
        <f t="shared" ref="V9:V70" si="18">ROUND(SUM(R9:U9),0)</f>
        <v>12360</v>
      </c>
      <c r="W9" s="93">
        <v>0</v>
      </c>
      <c r="X9" s="93">
        <v>0</v>
      </c>
      <c r="Y9" s="94">
        <f t="shared" si="15"/>
        <v>12360</v>
      </c>
      <c r="Z9" s="92">
        <f t="shared" si="4"/>
        <v>12360</v>
      </c>
      <c r="AA9" s="92">
        <f t="shared" si="5"/>
        <v>12360</v>
      </c>
      <c r="AB9" s="92">
        <f t="shared" si="6"/>
        <v>1483</v>
      </c>
      <c r="AC9" s="86">
        <v>0</v>
      </c>
      <c r="AD9" s="82">
        <f t="shared" si="7"/>
        <v>93</v>
      </c>
      <c r="AE9" s="93">
        <f t="shared" si="8"/>
        <v>1029</v>
      </c>
      <c r="AF9" s="93">
        <f t="shared" si="9"/>
        <v>454</v>
      </c>
      <c r="AG9" s="95">
        <f t="shared" si="10"/>
        <v>401.7</v>
      </c>
      <c r="AH9" s="92">
        <v>0</v>
      </c>
      <c r="AI9" s="92">
        <v>0</v>
      </c>
      <c r="AJ9" s="93">
        <v>0</v>
      </c>
      <c r="AK9" s="86">
        <f t="shared" si="11"/>
        <v>0</v>
      </c>
      <c r="AL9" s="96">
        <v>0</v>
      </c>
      <c r="AM9" s="93">
        <f t="shared" si="12"/>
        <v>1576</v>
      </c>
      <c r="AN9" s="93">
        <f t="shared" si="16"/>
        <v>10784</v>
      </c>
      <c r="AO9" s="97"/>
      <c r="AR9" s="99"/>
      <c r="AS9" s="99"/>
      <c r="AT9" s="100"/>
    </row>
    <row r="10" spans="1:46" x14ac:dyDescent="0.3">
      <c r="A10" s="82">
        <f t="shared" si="17"/>
        <v>8</v>
      </c>
      <c r="B10" s="83" t="s">
        <v>122</v>
      </c>
      <c r="C10" s="84">
        <v>44326</v>
      </c>
      <c r="D10" s="85"/>
      <c r="E10" s="86" t="s">
        <v>300</v>
      </c>
      <c r="F10" s="87">
        <v>50100426485354</v>
      </c>
      <c r="G10" s="86" t="s">
        <v>317</v>
      </c>
      <c r="H10" s="86" t="s">
        <v>320</v>
      </c>
      <c r="I10" s="86" t="s">
        <v>321</v>
      </c>
      <c r="J10" s="86">
        <v>5217396231</v>
      </c>
      <c r="K10" s="88">
        <v>36160</v>
      </c>
      <c r="L10" s="89" t="s">
        <v>304</v>
      </c>
      <c r="M10" s="89" t="s">
        <v>305</v>
      </c>
      <c r="N10" s="83" t="s">
        <v>306</v>
      </c>
      <c r="O10" s="90">
        <f>VLOOKUP(B10,'Anchor-Attendance'!$B$4:$BB$84,53,0)</f>
        <v>28</v>
      </c>
      <c r="P10" s="91">
        <v>12360</v>
      </c>
      <c r="Q10" s="92">
        <f t="shared" si="0"/>
        <v>12360</v>
      </c>
      <c r="R10" s="93">
        <f t="shared" si="1"/>
        <v>12360</v>
      </c>
      <c r="S10" s="93">
        <v>0</v>
      </c>
      <c r="T10" s="93">
        <v>0</v>
      </c>
      <c r="U10" s="93">
        <v>0</v>
      </c>
      <c r="V10" s="94">
        <f t="shared" si="18"/>
        <v>12360</v>
      </c>
      <c r="W10" s="93">
        <v>0</v>
      </c>
      <c r="X10" s="93">
        <v>0</v>
      </c>
      <c r="Y10" s="94">
        <f t="shared" si="15"/>
        <v>12360</v>
      </c>
      <c r="Z10" s="92">
        <f t="shared" si="4"/>
        <v>12360</v>
      </c>
      <c r="AA10" s="92">
        <f t="shared" si="5"/>
        <v>12360</v>
      </c>
      <c r="AB10" s="92">
        <f t="shared" si="6"/>
        <v>1483</v>
      </c>
      <c r="AC10" s="86">
        <v>0</v>
      </c>
      <c r="AD10" s="82">
        <f t="shared" si="7"/>
        <v>93</v>
      </c>
      <c r="AE10" s="93">
        <f t="shared" si="8"/>
        <v>1029</v>
      </c>
      <c r="AF10" s="93">
        <f t="shared" si="9"/>
        <v>454</v>
      </c>
      <c r="AG10" s="95">
        <f t="shared" si="10"/>
        <v>401.7</v>
      </c>
      <c r="AH10" s="92">
        <v>0</v>
      </c>
      <c r="AI10" s="92">
        <v>0</v>
      </c>
      <c r="AJ10" s="93">
        <v>0</v>
      </c>
      <c r="AK10" s="86">
        <f t="shared" si="11"/>
        <v>0</v>
      </c>
      <c r="AL10" s="96">
        <v>0</v>
      </c>
      <c r="AM10" s="93">
        <f t="shared" si="12"/>
        <v>1576</v>
      </c>
      <c r="AN10" s="93">
        <f t="shared" si="16"/>
        <v>10784</v>
      </c>
      <c r="AO10" s="97"/>
      <c r="AR10" s="99"/>
      <c r="AS10" s="99"/>
      <c r="AT10" s="100"/>
    </row>
    <row r="11" spans="1:46" x14ac:dyDescent="0.3">
      <c r="A11" s="82">
        <f t="shared" si="17"/>
        <v>9</v>
      </c>
      <c r="B11" s="83" t="s">
        <v>74</v>
      </c>
      <c r="C11" s="84">
        <v>44326</v>
      </c>
      <c r="D11" s="85"/>
      <c r="E11" s="86" t="s">
        <v>300</v>
      </c>
      <c r="F11" s="87">
        <v>50100421884544</v>
      </c>
      <c r="G11" s="86" t="s">
        <v>317</v>
      </c>
      <c r="H11" s="86" t="s">
        <v>322</v>
      </c>
      <c r="I11" s="86" t="s">
        <v>323</v>
      </c>
      <c r="J11" s="86">
        <v>5217395947</v>
      </c>
      <c r="K11" s="88">
        <v>33201</v>
      </c>
      <c r="L11" s="89" t="s">
        <v>304</v>
      </c>
      <c r="M11" s="89" t="s">
        <v>305</v>
      </c>
      <c r="N11" s="83" t="s">
        <v>306</v>
      </c>
      <c r="O11" s="90">
        <f>VLOOKUP(B11,'Anchor-Attendance'!$B$4:$BB$84,53,0)</f>
        <v>28</v>
      </c>
      <c r="P11" s="91">
        <v>12360</v>
      </c>
      <c r="Q11" s="92">
        <f t="shared" si="0"/>
        <v>12360</v>
      </c>
      <c r="R11" s="93">
        <f t="shared" si="1"/>
        <v>12360</v>
      </c>
      <c r="S11" s="93">
        <v>0</v>
      </c>
      <c r="T11" s="93">
        <v>0</v>
      </c>
      <c r="U11" s="93">
        <v>0</v>
      </c>
      <c r="V11" s="94">
        <f t="shared" si="18"/>
        <v>12360</v>
      </c>
      <c r="W11" s="93">
        <v>0</v>
      </c>
      <c r="X11" s="93">
        <v>0</v>
      </c>
      <c r="Y11" s="94">
        <f t="shared" si="15"/>
        <v>12360</v>
      </c>
      <c r="Z11" s="92">
        <f t="shared" si="4"/>
        <v>12360</v>
      </c>
      <c r="AA11" s="92">
        <f t="shared" si="5"/>
        <v>12360</v>
      </c>
      <c r="AB11" s="92">
        <f t="shared" si="6"/>
        <v>1483</v>
      </c>
      <c r="AC11" s="86">
        <v>0</v>
      </c>
      <c r="AD11" s="82">
        <f t="shared" si="7"/>
        <v>93</v>
      </c>
      <c r="AE11" s="93">
        <f t="shared" si="8"/>
        <v>1029</v>
      </c>
      <c r="AF11" s="93">
        <f t="shared" si="9"/>
        <v>454</v>
      </c>
      <c r="AG11" s="95">
        <f t="shared" si="10"/>
        <v>401.7</v>
      </c>
      <c r="AH11" s="92">
        <v>0</v>
      </c>
      <c r="AI11" s="92">
        <v>0</v>
      </c>
      <c r="AJ11" s="93">
        <v>0</v>
      </c>
      <c r="AK11" s="86">
        <f t="shared" si="11"/>
        <v>0</v>
      </c>
      <c r="AL11" s="96">
        <v>0</v>
      </c>
      <c r="AM11" s="93">
        <f t="shared" si="12"/>
        <v>1576</v>
      </c>
      <c r="AN11" s="93">
        <f t="shared" si="16"/>
        <v>10784</v>
      </c>
      <c r="AO11" s="97"/>
      <c r="AR11" s="99"/>
      <c r="AS11" s="99"/>
      <c r="AT11" s="100"/>
    </row>
    <row r="12" spans="1:46" x14ac:dyDescent="0.3">
      <c r="A12" s="82">
        <f t="shared" si="17"/>
        <v>10</v>
      </c>
      <c r="B12" s="83" t="s">
        <v>83</v>
      </c>
      <c r="C12" s="84">
        <v>44326</v>
      </c>
      <c r="D12" s="85"/>
      <c r="E12" s="86" t="s">
        <v>300</v>
      </c>
      <c r="F12" s="87">
        <v>50100426485519</v>
      </c>
      <c r="G12" s="86" t="s">
        <v>317</v>
      </c>
      <c r="H12" s="86" t="s">
        <v>324</v>
      </c>
      <c r="I12" s="86" t="s">
        <v>325</v>
      </c>
      <c r="J12" s="86">
        <v>5217398845</v>
      </c>
      <c r="K12" s="88">
        <v>35586</v>
      </c>
      <c r="L12" s="89" t="s">
        <v>304</v>
      </c>
      <c r="M12" s="89" t="s">
        <v>305</v>
      </c>
      <c r="N12" s="83" t="s">
        <v>306</v>
      </c>
      <c r="O12" s="90">
        <f>VLOOKUP(B12,'Anchor-Attendance'!$B$4:$BB$84,53,0)</f>
        <v>12</v>
      </c>
      <c r="P12" s="91">
        <v>12360</v>
      </c>
      <c r="Q12" s="92">
        <f t="shared" si="0"/>
        <v>5297.1428571428569</v>
      </c>
      <c r="R12" s="93">
        <f t="shared" si="1"/>
        <v>5297.1428571428569</v>
      </c>
      <c r="S12" s="93">
        <v>0</v>
      </c>
      <c r="T12" s="93">
        <v>0</v>
      </c>
      <c r="U12" s="93">
        <v>0</v>
      </c>
      <c r="V12" s="94">
        <f t="shared" si="18"/>
        <v>5297</v>
      </c>
      <c r="W12" s="93">
        <v>0</v>
      </c>
      <c r="X12" s="93">
        <v>0</v>
      </c>
      <c r="Y12" s="94">
        <f t="shared" si="15"/>
        <v>5297</v>
      </c>
      <c r="Z12" s="92">
        <f t="shared" si="4"/>
        <v>5297</v>
      </c>
      <c r="AA12" s="92">
        <f t="shared" si="5"/>
        <v>5297</v>
      </c>
      <c r="AB12" s="92">
        <f t="shared" si="6"/>
        <v>636</v>
      </c>
      <c r="AC12" s="86">
        <v>0</v>
      </c>
      <c r="AD12" s="82">
        <f t="shared" si="7"/>
        <v>40</v>
      </c>
      <c r="AE12" s="93">
        <f t="shared" si="8"/>
        <v>441</v>
      </c>
      <c r="AF12" s="93">
        <f t="shared" si="9"/>
        <v>195</v>
      </c>
      <c r="AG12" s="95">
        <f t="shared" si="10"/>
        <v>172.1525</v>
      </c>
      <c r="AH12" s="92">
        <v>0</v>
      </c>
      <c r="AI12" s="92">
        <v>0</v>
      </c>
      <c r="AJ12" s="93">
        <v>0</v>
      </c>
      <c r="AK12" s="86">
        <f t="shared" si="11"/>
        <v>0</v>
      </c>
      <c r="AL12" s="96">
        <v>0</v>
      </c>
      <c r="AM12" s="93">
        <f t="shared" si="12"/>
        <v>676</v>
      </c>
      <c r="AN12" s="93">
        <f t="shared" si="16"/>
        <v>4621</v>
      </c>
      <c r="AO12" s="97"/>
      <c r="AR12" s="99"/>
      <c r="AS12" s="99"/>
      <c r="AT12" s="100"/>
    </row>
    <row r="13" spans="1:46" x14ac:dyDescent="0.3">
      <c r="A13" s="82">
        <f t="shared" si="17"/>
        <v>11</v>
      </c>
      <c r="B13" s="83" t="s">
        <v>204</v>
      </c>
      <c r="C13" s="84">
        <v>44326</v>
      </c>
      <c r="D13" s="85"/>
      <c r="E13" s="86" t="s">
        <v>300</v>
      </c>
      <c r="F13" s="87">
        <v>50100419974035</v>
      </c>
      <c r="G13" s="86" t="s">
        <v>301</v>
      </c>
      <c r="H13" s="86" t="s">
        <v>326</v>
      </c>
      <c r="I13" s="86" t="s">
        <v>327</v>
      </c>
      <c r="J13" s="86">
        <v>5217404380</v>
      </c>
      <c r="K13" s="88">
        <v>36137</v>
      </c>
      <c r="L13" s="89" t="s">
        <v>304</v>
      </c>
      <c r="M13" s="89" t="s">
        <v>305</v>
      </c>
      <c r="N13" s="83" t="s">
        <v>306</v>
      </c>
      <c r="O13" s="90">
        <f>VLOOKUP(B13,'Anchor-Attendance'!$B$4:$BB$84,53,0)</f>
        <v>0</v>
      </c>
      <c r="P13" s="91">
        <v>12360</v>
      </c>
      <c r="Q13" s="92">
        <f t="shared" si="0"/>
        <v>0</v>
      </c>
      <c r="R13" s="93">
        <f t="shared" si="1"/>
        <v>0</v>
      </c>
      <c r="S13" s="93">
        <v>0</v>
      </c>
      <c r="T13" s="93">
        <v>0</v>
      </c>
      <c r="U13" s="93">
        <v>0</v>
      </c>
      <c r="V13" s="94">
        <f t="shared" si="18"/>
        <v>0</v>
      </c>
      <c r="W13" s="93">
        <v>0</v>
      </c>
      <c r="X13" s="93">
        <v>0</v>
      </c>
      <c r="Y13" s="94">
        <f t="shared" si="15"/>
        <v>0</v>
      </c>
      <c r="Z13" s="92">
        <f t="shared" si="4"/>
        <v>0</v>
      </c>
      <c r="AA13" s="92">
        <f t="shared" si="5"/>
        <v>0</v>
      </c>
      <c r="AB13" s="92">
        <f t="shared" si="6"/>
        <v>0</v>
      </c>
      <c r="AC13" s="86">
        <v>0</v>
      </c>
      <c r="AD13" s="82">
        <f t="shared" si="7"/>
        <v>0</v>
      </c>
      <c r="AE13" s="93">
        <f t="shared" si="8"/>
        <v>0</v>
      </c>
      <c r="AF13" s="93">
        <f t="shared" si="9"/>
        <v>0</v>
      </c>
      <c r="AG13" s="95">
        <f t="shared" si="10"/>
        <v>0</v>
      </c>
      <c r="AH13" s="92">
        <v>0</v>
      </c>
      <c r="AI13" s="92">
        <v>0</v>
      </c>
      <c r="AJ13" s="93">
        <v>0</v>
      </c>
      <c r="AK13" s="86">
        <f t="shared" si="11"/>
        <v>0</v>
      </c>
      <c r="AL13" s="96">
        <v>0</v>
      </c>
      <c r="AM13" s="93">
        <f t="shared" si="12"/>
        <v>0</v>
      </c>
      <c r="AN13" s="93">
        <f t="shared" si="16"/>
        <v>0</v>
      </c>
      <c r="AO13" s="97"/>
      <c r="AR13" s="99"/>
      <c r="AS13" s="99"/>
      <c r="AT13" s="100"/>
    </row>
    <row r="14" spans="1:46" x14ac:dyDescent="0.3">
      <c r="A14" s="82">
        <f t="shared" si="17"/>
        <v>12</v>
      </c>
      <c r="B14" s="83" t="s">
        <v>69</v>
      </c>
      <c r="C14" s="84">
        <v>44326</v>
      </c>
      <c r="D14" s="85"/>
      <c r="E14" s="86" t="s">
        <v>300</v>
      </c>
      <c r="F14" s="87">
        <v>50100419974686</v>
      </c>
      <c r="G14" s="86" t="s">
        <v>301</v>
      </c>
      <c r="H14" s="86" t="s">
        <v>328</v>
      </c>
      <c r="I14" s="86" t="s">
        <v>329</v>
      </c>
      <c r="J14" s="86">
        <v>5217396008</v>
      </c>
      <c r="K14" s="88">
        <v>37108</v>
      </c>
      <c r="L14" s="89" t="s">
        <v>304</v>
      </c>
      <c r="M14" s="89" t="s">
        <v>305</v>
      </c>
      <c r="N14" s="83" t="s">
        <v>306</v>
      </c>
      <c r="O14" s="90">
        <f>VLOOKUP(B14,'Anchor-Attendance'!$B$4:$BB$84,53,0)</f>
        <v>28</v>
      </c>
      <c r="P14" s="91">
        <v>12360</v>
      </c>
      <c r="Q14" s="92">
        <f t="shared" si="0"/>
        <v>12360</v>
      </c>
      <c r="R14" s="93">
        <f t="shared" si="1"/>
        <v>12360</v>
      </c>
      <c r="S14" s="93">
        <v>0</v>
      </c>
      <c r="T14" s="93">
        <v>0</v>
      </c>
      <c r="U14" s="93">
        <v>0</v>
      </c>
      <c r="V14" s="94">
        <f t="shared" si="18"/>
        <v>12360</v>
      </c>
      <c r="W14" s="93">
        <v>0</v>
      </c>
      <c r="X14" s="93">
        <v>0</v>
      </c>
      <c r="Y14" s="94">
        <f t="shared" si="15"/>
        <v>12360</v>
      </c>
      <c r="Z14" s="92">
        <f t="shared" si="4"/>
        <v>12360</v>
      </c>
      <c r="AA14" s="92">
        <f t="shared" si="5"/>
        <v>12360</v>
      </c>
      <c r="AB14" s="92">
        <f t="shared" si="6"/>
        <v>1483</v>
      </c>
      <c r="AC14" s="86">
        <v>0</v>
      </c>
      <c r="AD14" s="82">
        <f t="shared" si="7"/>
        <v>93</v>
      </c>
      <c r="AE14" s="93">
        <f t="shared" si="8"/>
        <v>1029</v>
      </c>
      <c r="AF14" s="93">
        <f t="shared" si="9"/>
        <v>454</v>
      </c>
      <c r="AG14" s="95">
        <f t="shared" si="10"/>
        <v>401.7</v>
      </c>
      <c r="AH14" s="92">
        <v>0</v>
      </c>
      <c r="AI14" s="92">
        <v>0</v>
      </c>
      <c r="AJ14" s="93">
        <v>0</v>
      </c>
      <c r="AK14" s="86">
        <f t="shared" si="11"/>
        <v>0</v>
      </c>
      <c r="AL14" s="96">
        <v>0</v>
      </c>
      <c r="AM14" s="93">
        <f t="shared" si="12"/>
        <v>1576</v>
      </c>
      <c r="AN14" s="93">
        <f t="shared" si="16"/>
        <v>10784</v>
      </c>
      <c r="AO14" s="97"/>
      <c r="AR14" s="99"/>
      <c r="AS14" s="99"/>
      <c r="AT14" s="100"/>
    </row>
    <row r="15" spans="1:46" x14ac:dyDescent="0.3">
      <c r="A15" s="82">
        <f t="shared" si="17"/>
        <v>13</v>
      </c>
      <c r="B15" s="83" t="s">
        <v>128</v>
      </c>
      <c r="C15" s="84">
        <v>44326</v>
      </c>
      <c r="D15" s="85"/>
      <c r="E15" s="86" t="s">
        <v>300</v>
      </c>
      <c r="F15" s="87">
        <v>50100426462022</v>
      </c>
      <c r="G15" s="86" t="s">
        <v>317</v>
      </c>
      <c r="H15" s="86" t="s">
        <v>330</v>
      </c>
      <c r="I15" s="86" t="s">
        <v>331</v>
      </c>
      <c r="J15" s="86">
        <v>5217395028</v>
      </c>
      <c r="K15" s="88">
        <v>34097</v>
      </c>
      <c r="L15" s="89" t="s">
        <v>304</v>
      </c>
      <c r="M15" s="89" t="s">
        <v>305</v>
      </c>
      <c r="N15" s="83" t="s">
        <v>306</v>
      </c>
      <c r="O15" s="90">
        <f>VLOOKUP(B15,'Anchor-Attendance'!$B$4:$BB$84,53,0)</f>
        <v>28</v>
      </c>
      <c r="P15" s="91">
        <v>12360</v>
      </c>
      <c r="Q15" s="92">
        <f t="shared" si="0"/>
        <v>12360</v>
      </c>
      <c r="R15" s="93">
        <f t="shared" si="1"/>
        <v>12360</v>
      </c>
      <c r="S15" s="93">
        <v>0</v>
      </c>
      <c r="T15" s="93">
        <v>0</v>
      </c>
      <c r="U15" s="93">
        <v>0</v>
      </c>
      <c r="V15" s="94">
        <f t="shared" si="18"/>
        <v>12360</v>
      </c>
      <c r="W15" s="93">
        <v>0</v>
      </c>
      <c r="X15" s="93">
        <v>0</v>
      </c>
      <c r="Y15" s="94">
        <f t="shared" si="15"/>
        <v>12360</v>
      </c>
      <c r="Z15" s="92">
        <f t="shared" si="4"/>
        <v>12360</v>
      </c>
      <c r="AA15" s="92">
        <f t="shared" si="5"/>
        <v>12360</v>
      </c>
      <c r="AB15" s="92">
        <f t="shared" si="6"/>
        <v>1483</v>
      </c>
      <c r="AC15" s="86">
        <v>0</v>
      </c>
      <c r="AD15" s="82">
        <f t="shared" si="7"/>
        <v>93</v>
      </c>
      <c r="AE15" s="93">
        <f t="shared" si="8"/>
        <v>1029</v>
      </c>
      <c r="AF15" s="93">
        <f t="shared" si="9"/>
        <v>454</v>
      </c>
      <c r="AG15" s="95">
        <f t="shared" si="10"/>
        <v>401.7</v>
      </c>
      <c r="AH15" s="92">
        <v>0</v>
      </c>
      <c r="AI15" s="92">
        <v>0</v>
      </c>
      <c r="AJ15" s="93">
        <v>0</v>
      </c>
      <c r="AK15" s="86">
        <f t="shared" si="11"/>
        <v>0</v>
      </c>
      <c r="AL15" s="96">
        <v>0</v>
      </c>
      <c r="AM15" s="93">
        <f t="shared" si="12"/>
        <v>1576</v>
      </c>
      <c r="AN15" s="93">
        <f t="shared" si="16"/>
        <v>10784</v>
      </c>
      <c r="AO15" s="97"/>
      <c r="AR15" s="99"/>
      <c r="AS15" s="99"/>
      <c r="AT15" s="100"/>
    </row>
    <row r="16" spans="1:46" x14ac:dyDescent="0.3">
      <c r="A16" s="82">
        <f t="shared" si="17"/>
        <v>14</v>
      </c>
      <c r="B16" s="83" t="s">
        <v>112</v>
      </c>
      <c r="C16" s="84">
        <v>44326</v>
      </c>
      <c r="D16" s="85"/>
      <c r="E16" s="86" t="s">
        <v>300</v>
      </c>
      <c r="F16" s="87">
        <v>50100419974009</v>
      </c>
      <c r="G16" s="86" t="s">
        <v>301</v>
      </c>
      <c r="H16" s="86" t="s">
        <v>332</v>
      </c>
      <c r="I16" s="86" t="s">
        <v>333</v>
      </c>
      <c r="J16" s="86">
        <v>5217396164</v>
      </c>
      <c r="K16" s="88">
        <v>36748</v>
      </c>
      <c r="L16" s="89" t="s">
        <v>304</v>
      </c>
      <c r="M16" s="89" t="s">
        <v>305</v>
      </c>
      <c r="N16" s="83" t="s">
        <v>306</v>
      </c>
      <c r="O16" s="90">
        <f>VLOOKUP(B16,'Anchor-Attendance'!$B$4:$BB$84,53,0)</f>
        <v>28</v>
      </c>
      <c r="P16" s="91">
        <v>12360</v>
      </c>
      <c r="Q16" s="92">
        <f t="shared" si="0"/>
        <v>12360</v>
      </c>
      <c r="R16" s="93">
        <f t="shared" si="1"/>
        <v>12360</v>
      </c>
      <c r="S16" s="93">
        <v>0</v>
      </c>
      <c r="T16" s="93">
        <v>0</v>
      </c>
      <c r="U16" s="93">
        <v>0</v>
      </c>
      <c r="V16" s="94">
        <f t="shared" si="18"/>
        <v>12360</v>
      </c>
      <c r="W16" s="93">
        <v>0</v>
      </c>
      <c r="X16" s="93">
        <v>0</v>
      </c>
      <c r="Y16" s="94">
        <f t="shared" si="15"/>
        <v>12360</v>
      </c>
      <c r="Z16" s="92">
        <f t="shared" si="4"/>
        <v>12360</v>
      </c>
      <c r="AA16" s="92">
        <f t="shared" si="5"/>
        <v>12360</v>
      </c>
      <c r="AB16" s="92">
        <f t="shared" si="6"/>
        <v>1483</v>
      </c>
      <c r="AC16" s="86">
        <v>0</v>
      </c>
      <c r="AD16" s="82">
        <f t="shared" si="7"/>
        <v>93</v>
      </c>
      <c r="AE16" s="93">
        <f t="shared" si="8"/>
        <v>1029</v>
      </c>
      <c r="AF16" s="93">
        <f t="shared" si="9"/>
        <v>454</v>
      </c>
      <c r="AG16" s="95">
        <f t="shared" si="10"/>
        <v>401.7</v>
      </c>
      <c r="AH16" s="92">
        <v>0</v>
      </c>
      <c r="AI16" s="92">
        <v>0</v>
      </c>
      <c r="AJ16" s="93">
        <v>0</v>
      </c>
      <c r="AK16" s="86">
        <f t="shared" si="11"/>
        <v>0</v>
      </c>
      <c r="AL16" s="96">
        <v>0</v>
      </c>
      <c r="AM16" s="93">
        <f t="shared" si="12"/>
        <v>1576</v>
      </c>
      <c r="AN16" s="93">
        <f t="shared" si="16"/>
        <v>10784</v>
      </c>
      <c r="AO16" s="97"/>
      <c r="AR16" s="99"/>
      <c r="AS16" s="99"/>
      <c r="AT16" s="100"/>
    </row>
    <row r="17" spans="1:46" s="98" customFormat="1" x14ac:dyDescent="0.3">
      <c r="A17" s="118">
        <f t="shared" si="17"/>
        <v>15</v>
      </c>
      <c r="B17" s="116" t="s">
        <v>245</v>
      </c>
      <c r="C17" s="122">
        <v>44342</v>
      </c>
      <c r="D17" s="123"/>
      <c r="E17" s="124" t="s">
        <v>300</v>
      </c>
      <c r="F17" s="87">
        <v>50100422491859</v>
      </c>
      <c r="G17" s="86" t="s">
        <v>334</v>
      </c>
      <c r="H17" s="86" t="s">
        <v>335</v>
      </c>
      <c r="I17" s="86" t="s">
        <v>336</v>
      </c>
      <c r="J17" s="86">
        <v>5217417695</v>
      </c>
      <c r="K17" s="88">
        <v>34570</v>
      </c>
      <c r="L17" s="89" t="s">
        <v>304</v>
      </c>
      <c r="M17" s="125" t="s">
        <v>305</v>
      </c>
      <c r="N17" s="116">
        <f>VLOOKUP(B17,'Anchor-Attendance'!$B$4:$K$84,10,0)</f>
        <v>46059</v>
      </c>
      <c r="O17" s="126">
        <f>VLOOKUP(B17,'Anchor-Attendance'!$B$4:$BB$84,53,0)</f>
        <v>5</v>
      </c>
      <c r="P17" s="127">
        <v>12360</v>
      </c>
      <c r="Q17" s="120">
        <f t="shared" si="0"/>
        <v>2207.1428571428573</v>
      </c>
      <c r="R17" s="128">
        <f t="shared" si="1"/>
        <v>2207.1428571428573</v>
      </c>
      <c r="S17" s="128">
        <v>0</v>
      </c>
      <c r="T17" s="128">
        <v>0</v>
      </c>
      <c r="U17" s="128">
        <v>0</v>
      </c>
      <c r="V17" s="121">
        <f t="shared" si="18"/>
        <v>2207</v>
      </c>
      <c r="W17" s="128">
        <v>0</v>
      </c>
      <c r="X17" s="128">
        <f t="shared" ref="X17:X18" si="19">AR17</f>
        <v>35654</v>
      </c>
      <c r="Y17" s="121">
        <f t="shared" si="15"/>
        <v>37861</v>
      </c>
      <c r="Z17" s="120">
        <f t="shared" si="4"/>
        <v>2207</v>
      </c>
      <c r="AA17" s="120">
        <f t="shared" si="5"/>
        <v>2207</v>
      </c>
      <c r="AB17" s="120">
        <f t="shared" si="6"/>
        <v>265</v>
      </c>
      <c r="AC17" s="124">
        <v>0</v>
      </c>
      <c r="AD17" s="118">
        <f t="shared" si="7"/>
        <v>17</v>
      </c>
      <c r="AE17" s="128">
        <f t="shared" si="8"/>
        <v>184</v>
      </c>
      <c r="AF17" s="128">
        <f t="shared" si="9"/>
        <v>81</v>
      </c>
      <c r="AG17" s="129">
        <f t="shared" si="10"/>
        <v>71.727500000000006</v>
      </c>
      <c r="AH17" s="120">
        <v>0</v>
      </c>
      <c r="AI17" s="120">
        <v>0</v>
      </c>
      <c r="AJ17" s="128">
        <v>0</v>
      </c>
      <c r="AK17" s="124">
        <f t="shared" si="11"/>
        <v>0</v>
      </c>
      <c r="AL17" s="118">
        <v>0</v>
      </c>
      <c r="AM17" s="128">
        <f t="shared" si="12"/>
        <v>282</v>
      </c>
      <c r="AN17" s="128">
        <f t="shared" si="16"/>
        <v>37579</v>
      </c>
      <c r="AO17" s="130"/>
      <c r="AP17" s="101">
        <f>ROUND((N17-C17)/365,0)</f>
        <v>5</v>
      </c>
      <c r="AQ17" s="103">
        <f t="shared" ref="AQ17:AQ18" si="20">P17</f>
        <v>12360</v>
      </c>
      <c r="AR17" s="103">
        <f t="shared" ref="AR17:AR18" si="21">ROUND(AQ17*15/26*AP17,0)</f>
        <v>35654</v>
      </c>
      <c r="AS17" s="131"/>
      <c r="AT17" s="132"/>
    </row>
    <row r="18" spans="1:46" s="98" customFormat="1" x14ac:dyDescent="0.3">
      <c r="A18" s="118">
        <f t="shared" si="17"/>
        <v>16</v>
      </c>
      <c r="B18" s="116" t="s">
        <v>223</v>
      </c>
      <c r="C18" s="122">
        <v>44342</v>
      </c>
      <c r="D18" s="123"/>
      <c r="E18" s="124" t="s">
        <v>300</v>
      </c>
      <c r="F18" s="87">
        <v>50100428958172</v>
      </c>
      <c r="G18" s="86" t="s">
        <v>337</v>
      </c>
      <c r="H18" s="86" t="s">
        <v>338</v>
      </c>
      <c r="I18" s="86" t="s">
        <v>339</v>
      </c>
      <c r="J18" s="86">
        <v>5217418388</v>
      </c>
      <c r="K18" s="88">
        <v>36126</v>
      </c>
      <c r="L18" s="89" t="s">
        <v>304</v>
      </c>
      <c r="M18" s="125" t="s">
        <v>305</v>
      </c>
      <c r="N18" s="116">
        <f>VLOOKUP(B18,'Anchor-Attendance'!$B$4:$K$84,10,0)</f>
        <v>46072</v>
      </c>
      <c r="O18" s="126">
        <f>VLOOKUP(B18,'Anchor-Attendance'!$B$4:$BB$84,53,0)</f>
        <v>19</v>
      </c>
      <c r="P18" s="127">
        <v>12360</v>
      </c>
      <c r="Q18" s="120">
        <f t="shared" si="0"/>
        <v>8387.1428571428569</v>
      </c>
      <c r="R18" s="128">
        <f t="shared" si="1"/>
        <v>8387.1428571428569</v>
      </c>
      <c r="S18" s="128">
        <v>0</v>
      </c>
      <c r="T18" s="128">
        <v>0</v>
      </c>
      <c r="U18" s="128">
        <v>0</v>
      </c>
      <c r="V18" s="121">
        <f t="shared" si="18"/>
        <v>8387</v>
      </c>
      <c r="W18" s="128">
        <f>12360-V18</f>
        <v>3973</v>
      </c>
      <c r="X18" s="128">
        <f t="shared" si="19"/>
        <v>35654</v>
      </c>
      <c r="Y18" s="121">
        <f t="shared" si="15"/>
        <v>48014</v>
      </c>
      <c r="Z18" s="120">
        <f t="shared" si="4"/>
        <v>8387</v>
      </c>
      <c r="AA18" s="120">
        <f t="shared" si="5"/>
        <v>8387</v>
      </c>
      <c r="AB18" s="120">
        <f t="shared" si="6"/>
        <v>1006</v>
      </c>
      <c r="AC18" s="124">
        <v>0</v>
      </c>
      <c r="AD18" s="118">
        <f t="shared" si="7"/>
        <v>93</v>
      </c>
      <c r="AE18" s="128">
        <f t="shared" si="8"/>
        <v>698</v>
      </c>
      <c r="AF18" s="128">
        <f t="shared" si="9"/>
        <v>308</v>
      </c>
      <c r="AG18" s="129">
        <f t="shared" si="10"/>
        <v>401.7</v>
      </c>
      <c r="AH18" s="120">
        <v>0</v>
      </c>
      <c r="AI18" s="120">
        <v>0</v>
      </c>
      <c r="AJ18" s="128">
        <v>0</v>
      </c>
      <c r="AK18" s="124">
        <f t="shared" si="11"/>
        <v>0</v>
      </c>
      <c r="AL18" s="118">
        <v>0</v>
      </c>
      <c r="AM18" s="128">
        <f t="shared" si="12"/>
        <v>1099</v>
      </c>
      <c r="AN18" s="128">
        <f t="shared" si="16"/>
        <v>46915</v>
      </c>
      <c r="AO18" s="130" t="s">
        <v>480</v>
      </c>
      <c r="AP18" s="101">
        <f>ROUND((N18-C18)/365,0)</f>
        <v>5</v>
      </c>
      <c r="AQ18" s="103">
        <f t="shared" si="20"/>
        <v>12360</v>
      </c>
      <c r="AR18" s="103">
        <f t="shared" si="21"/>
        <v>35654</v>
      </c>
      <c r="AS18" s="131"/>
      <c r="AT18" s="132"/>
    </row>
    <row r="19" spans="1:46" x14ac:dyDescent="0.3">
      <c r="A19" s="82">
        <f t="shared" si="17"/>
        <v>17</v>
      </c>
      <c r="B19" s="83" t="s">
        <v>91</v>
      </c>
      <c r="C19" s="84">
        <v>44426</v>
      </c>
      <c r="D19" s="85"/>
      <c r="E19" s="86" t="s">
        <v>300</v>
      </c>
      <c r="F19" s="87">
        <v>50100453957155</v>
      </c>
      <c r="G19" s="86" t="s">
        <v>301</v>
      </c>
      <c r="H19" s="86" t="s">
        <v>340</v>
      </c>
      <c r="I19" s="86" t="s">
        <v>341</v>
      </c>
      <c r="J19" s="86">
        <v>5217668558</v>
      </c>
      <c r="K19" s="88">
        <v>36765</v>
      </c>
      <c r="L19" s="89" t="s">
        <v>304</v>
      </c>
      <c r="M19" s="89" t="s">
        <v>305</v>
      </c>
      <c r="N19" s="83" t="s">
        <v>306</v>
      </c>
      <c r="O19" s="90">
        <f>VLOOKUP(B19,'Anchor-Attendance'!$B$4:$BB$84,53,0)</f>
        <v>26</v>
      </c>
      <c r="P19" s="91">
        <v>12360</v>
      </c>
      <c r="Q19" s="92">
        <f t="shared" si="0"/>
        <v>11477.142857142857</v>
      </c>
      <c r="R19" s="93">
        <f t="shared" si="1"/>
        <v>11477.142857142857</v>
      </c>
      <c r="S19" s="93">
        <v>0</v>
      </c>
      <c r="T19" s="93">
        <v>0</v>
      </c>
      <c r="U19" s="93">
        <v>0</v>
      </c>
      <c r="V19" s="94">
        <f t="shared" si="18"/>
        <v>11477</v>
      </c>
      <c r="W19" s="93">
        <v>0</v>
      </c>
      <c r="X19" s="93">
        <v>0</v>
      </c>
      <c r="Y19" s="94">
        <f t="shared" si="15"/>
        <v>11477</v>
      </c>
      <c r="Z19" s="92">
        <f t="shared" si="4"/>
        <v>11477</v>
      </c>
      <c r="AA19" s="92">
        <f t="shared" si="5"/>
        <v>11477</v>
      </c>
      <c r="AB19" s="92">
        <f t="shared" si="6"/>
        <v>1377</v>
      </c>
      <c r="AC19" s="86">
        <v>0</v>
      </c>
      <c r="AD19" s="82">
        <f t="shared" si="7"/>
        <v>87</v>
      </c>
      <c r="AE19" s="93">
        <f t="shared" si="8"/>
        <v>956</v>
      </c>
      <c r="AF19" s="93">
        <f t="shared" si="9"/>
        <v>421</v>
      </c>
      <c r="AG19" s="95">
        <f t="shared" si="10"/>
        <v>373.0025</v>
      </c>
      <c r="AH19" s="92">
        <v>0</v>
      </c>
      <c r="AI19" s="92">
        <v>0</v>
      </c>
      <c r="AJ19" s="93">
        <v>0</v>
      </c>
      <c r="AK19" s="86">
        <f t="shared" si="11"/>
        <v>0</v>
      </c>
      <c r="AL19" s="96">
        <v>0</v>
      </c>
      <c r="AM19" s="93">
        <f t="shared" si="12"/>
        <v>1464</v>
      </c>
      <c r="AN19" s="93">
        <f t="shared" si="16"/>
        <v>10013</v>
      </c>
      <c r="AO19" s="97"/>
      <c r="AR19" s="99"/>
      <c r="AS19" s="99"/>
      <c r="AT19" s="100"/>
    </row>
    <row r="20" spans="1:46" x14ac:dyDescent="0.3">
      <c r="A20" s="82">
        <f t="shared" si="17"/>
        <v>18</v>
      </c>
      <c r="B20" s="83" t="s">
        <v>207</v>
      </c>
      <c r="C20" s="84">
        <v>44426</v>
      </c>
      <c r="D20" s="85"/>
      <c r="E20" s="86" t="s">
        <v>300</v>
      </c>
      <c r="F20" s="87">
        <v>50100452150045</v>
      </c>
      <c r="G20" s="86" t="s">
        <v>342</v>
      </c>
      <c r="H20" s="86" t="s">
        <v>343</v>
      </c>
      <c r="I20" s="86" t="s">
        <v>344</v>
      </c>
      <c r="J20" s="86">
        <v>5217663143</v>
      </c>
      <c r="K20" s="88">
        <v>34561</v>
      </c>
      <c r="L20" s="89" t="s">
        <v>304</v>
      </c>
      <c r="M20" s="89" t="s">
        <v>305</v>
      </c>
      <c r="N20" s="83" t="s">
        <v>306</v>
      </c>
      <c r="O20" s="90">
        <f>VLOOKUP(B20,'Anchor-Attendance'!$B$4:$BB$84,53,0)</f>
        <v>28</v>
      </c>
      <c r="P20" s="91">
        <v>12360</v>
      </c>
      <c r="Q20" s="92">
        <f t="shared" si="0"/>
        <v>12360</v>
      </c>
      <c r="R20" s="93">
        <f t="shared" si="1"/>
        <v>12360</v>
      </c>
      <c r="S20" s="93">
        <v>0</v>
      </c>
      <c r="T20" s="93">
        <v>0</v>
      </c>
      <c r="U20" s="93">
        <v>0</v>
      </c>
      <c r="V20" s="94">
        <f t="shared" si="18"/>
        <v>12360</v>
      </c>
      <c r="W20" s="93">
        <v>0</v>
      </c>
      <c r="X20" s="93">
        <v>0</v>
      </c>
      <c r="Y20" s="94">
        <f t="shared" si="15"/>
        <v>12360</v>
      </c>
      <c r="Z20" s="92">
        <f t="shared" si="4"/>
        <v>12360</v>
      </c>
      <c r="AA20" s="92">
        <f t="shared" si="5"/>
        <v>12360</v>
      </c>
      <c r="AB20" s="92">
        <f t="shared" si="6"/>
        <v>1483</v>
      </c>
      <c r="AC20" s="86">
        <v>0</v>
      </c>
      <c r="AD20" s="82">
        <f t="shared" si="7"/>
        <v>93</v>
      </c>
      <c r="AE20" s="93">
        <f t="shared" si="8"/>
        <v>1029</v>
      </c>
      <c r="AF20" s="93">
        <f t="shared" si="9"/>
        <v>454</v>
      </c>
      <c r="AG20" s="95">
        <f t="shared" si="10"/>
        <v>401.7</v>
      </c>
      <c r="AH20" s="92">
        <v>0</v>
      </c>
      <c r="AI20" s="92">
        <v>0</v>
      </c>
      <c r="AJ20" s="93">
        <v>0</v>
      </c>
      <c r="AK20" s="86">
        <f t="shared" si="11"/>
        <v>0</v>
      </c>
      <c r="AL20" s="96">
        <v>0</v>
      </c>
      <c r="AM20" s="93">
        <f t="shared" si="12"/>
        <v>1576</v>
      </c>
      <c r="AN20" s="93">
        <f t="shared" si="16"/>
        <v>10784</v>
      </c>
      <c r="AO20" s="97"/>
      <c r="AR20" s="99"/>
      <c r="AS20" s="99"/>
      <c r="AT20" s="100"/>
    </row>
    <row r="21" spans="1:46" x14ac:dyDescent="0.3">
      <c r="A21" s="82">
        <f t="shared" si="17"/>
        <v>19</v>
      </c>
      <c r="B21" s="83" t="s">
        <v>198</v>
      </c>
      <c r="C21" s="84">
        <v>44426</v>
      </c>
      <c r="D21" s="85"/>
      <c r="E21" s="86" t="s">
        <v>300</v>
      </c>
      <c r="F21" s="87">
        <v>50100453956929</v>
      </c>
      <c r="G21" s="86" t="s">
        <v>301</v>
      </c>
      <c r="H21" s="86" t="s">
        <v>345</v>
      </c>
      <c r="I21" s="86" t="s">
        <v>346</v>
      </c>
      <c r="J21" s="86">
        <v>5217664617</v>
      </c>
      <c r="K21" s="88">
        <v>36387</v>
      </c>
      <c r="L21" s="89" t="s">
        <v>304</v>
      </c>
      <c r="M21" s="89" t="s">
        <v>305</v>
      </c>
      <c r="N21" s="83" t="s">
        <v>306</v>
      </c>
      <c r="O21" s="90">
        <f>VLOOKUP(B21,'Anchor-Attendance'!$B$4:$BB$84,53,0)</f>
        <v>28</v>
      </c>
      <c r="P21" s="91">
        <v>12360</v>
      </c>
      <c r="Q21" s="92">
        <f t="shared" si="0"/>
        <v>12360</v>
      </c>
      <c r="R21" s="93">
        <f t="shared" si="1"/>
        <v>12360</v>
      </c>
      <c r="S21" s="93">
        <v>0</v>
      </c>
      <c r="T21" s="93">
        <v>0</v>
      </c>
      <c r="U21" s="93">
        <v>0</v>
      </c>
      <c r="V21" s="94">
        <f t="shared" si="18"/>
        <v>12360</v>
      </c>
      <c r="W21" s="93">
        <v>0</v>
      </c>
      <c r="X21" s="93">
        <v>0</v>
      </c>
      <c r="Y21" s="94">
        <f t="shared" si="15"/>
        <v>12360</v>
      </c>
      <c r="Z21" s="92">
        <f t="shared" si="4"/>
        <v>12360</v>
      </c>
      <c r="AA21" s="92">
        <f t="shared" si="5"/>
        <v>12360</v>
      </c>
      <c r="AB21" s="92">
        <f t="shared" si="6"/>
        <v>1483</v>
      </c>
      <c r="AC21" s="86">
        <v>0</v>
      </c>
      <c r="AD21" s="82">
        <f t="shared" si="7"/>
        <v>93</v>
      </c>
      <c r="AE21" s="93">
        <f t="shared" si="8"/>
        <v>1029</v>
      </c>
      <c r="AF21" s="93">
        <f t="shared" si="9"/>
        <v>454</v>
      </c>
      <c r="AG21" s="95">
        <f t="shared" si="10"/>
        <v>401.7</v>
      </c>
      <c r="AH21" s="92">
        <v>0</v>
      </c>
      <c r="AI21" s="92">
        <v>0</v>
      </c>
      <c r="AJ21" s="93">
        <v>0</v>
      </c>
      <c r="AK21" s="86">
        <f t="shared" si="11"/>
        <v>0</v>
      </c>
      <c r="AL21" s="96">
        <v>0</v>
      </c>
      <c r="AM21" s="93">
        <f t="shared" si="12"/>
        <v>1576</v>
      </c>
      <c r="AN21" s="93">
        <f t="shared" si="16"/>
        <v>10784</v>
      </c>
      <c r="AO21" s="97"/>
      <c r="AR21" s="99"/>
      <c r="AS21" s="99"/>
      <c r="AT21" s="100"/>
    </row>
    <row r="22" spans="1:46" s="98" customFormat="1" x14ac:dyDescent="0.3">
      <c r="A22" s="118">
        <f t="shared" si="17"/>
        <v>20</v>
      </c>
      <c r="B22" s="116" t="s">
        <v>243</v>
      </c>
      <c r="C22" s="122">
        <v>44426</v>
      </c>
      <c r="D22" s="123"/>
      <c r="E22" s="124" t="s">
        <v>300</v>
      </c>
      <c r="F22" s="87">
        <v>50100446212114</v>
      </c>
      <c r="G22" s="86" t="s">
        <v>301</v>
      </c>
      <c r="H22" s="86" t="s">
        <v>347</v>
      </c>
      <c r="I22" s="86" t="s">
        <v>348</v>
      </c>
      <c r="J22" s="86">
        <v>5217664816</v>
      </c>
      <c r="K22" s="88">
        <v>35595</v>
      </c>
      <c r="L22" s="89" t="s">
        <v>304</v>
      </c>
      <c r="M22" s="125" t="s">
        <v>305</v>
      </c>
      <c r="N22" s="116">
        <f>VLOOKUP(B22,'Anchor-Attendance'!$B$4:$K$84,10,0)</f>
        <v>46059</v>
      </c>
      <c r="O22" s="126">
        <f>VLOOKUP(B22,'Anchor-Attendance'!$B$4:$BB$84,53,0)</f>
        <v>6</v>
      </c>
      <c r="P22" s="127">
        <v>12360</v>
      </c>
      <c r="Q22" s="120">
        <f t="shared" si="0"/>
        <v>2648.5714285714284</v>
      </c>
      <c r="R22" s="128">
        <f t="shared" si="1"/>
        <v>2648.5714285714284</v>
      </c>
      <c r="S22" s="128">
        <v>0</v>
      </c>
      <c r="T22" s="128">
        <v>0</v>
      </c>
      <c r="U22" s="128">
        <v>0</v>
      </c>
      <c r="V22" s="121">
        <f t="shared" si="18"/>
        <v>2649</v>
      </c>
      <c r="W22" s="128">
        <v>0</v>
      </c>
      <c r="X22" s="128">
        <f>AR22</f>
        <v>0</v>
      </c>
      <c r="Y22" s="121">
        <f t="shared" si="15"/>
        <v>2649</v>
      </c>
      <c r="Z22" s="120">
        <f t="shared" si="4"/>
        <v>2649</v>
      </c>
      <c r="AA22" s="120">
        <f t="shared" si="5"/>
        <v>2649</v>
      </c>
      <c r="AB22" s="120">
        <f t="shared" si="6"/>
        <v>318</v>
      </c>
      <c r="AC22" s="124">
        <v>0</v>
      </c>
      <c r="AD22" s="118">
        <f t="shared" si="7"/>
        <v>20</v>
      </c>
      <c r="AE22" s="128">
        <f t="shared" si="8"/>
        <v>221</v>
      </c>
      <c r="AF22" s="128">
        <f t="shared" si="9"/>
        <v>97</v>
      </c>
      <c r="AG22" s="129">
        <f t="shared" si="10"/>
        <v>86.092500000000001</v>
      </c>
      <c r="AH22" s="120">
        <v>0</v>
      </c>
      <c r="AI22" s="120">
        <v>0</v>
      </c>
      <c r="AJ22" s="128">
        <v>0</v>
      </c>
      <c r="AK22" s="124">
        <f t="shared" si="11"/>
        <v>0</v>
      </c>
      <c r="AL22" s="118">
        <v>0</v>
      </c>
      <c r="AM22" s="128">
        <f t="shared" si="12"/>
        <v>338</v>
      </c>
      <c r="AN22" s="128">
        <f t="shared" si="16"/>
        <v>2311</v>
      </c>
      <c r="AO22" s="130"/>
      <c r="AP22" s="101">
        <f>ROUND((N22-C22)/365,0)</f>
        <v>4</v>
      </c>
      <c r="AQ22" s="103"/>
      <c r="AR22" s="103"/>
      <c r="AS22" s="131"/>
      <c r="AT22" s="132"/>
    </row>
    <row r="23" spans="1:46" x14ac:dyDescent="0.3">
      <c r="A23" s="82">
        <f t="shared" si="17"/>
        <v>21</v>
      </c>
      <c r="B23" s="83" t="s">
        <v>81</v>
      </c>
      <c r="C23" s="84">
        <v>44426</v>
      </c>
      <c r="D23" s="85"/>
      <c r="E23" s="86" t="s">
        <v>300</v>
      </c>
      <c r="F23" s="87">
        <v>50100453956892</v>
      </c>
      <c r="G23" s="86" t="s">
        <v>301</v>
      </c>
      <c r="H23" s="86" t="s">
        <v>349</v>
      </c>
      <c r="I23" s="86" t="s">
        <v>350</v>
      </c>
      <c r="J23" s="86">
        <v>5217668709</v>
      </c>
      <c r="K23" s="88">
        <v>35934</v>
      </c>
      <c r="L23" s="89" t="s">
        <v>304</v>
      </c>
      <c r="M23" s="89" t="s">
        <v>305</v>
      </c>
      <c r="N23" s="83" t="s">
        <v>306</v>
      </c>
      <c r="O23" s="90">
        <f>VLOOKUP(B23,'Anchor-Attendance'!$B$4:$BB$84,53,0)</f>
        <v>28</v>
      </c>
      <c r="P23" s="91">
        <v>12360</v>
      </c>
      <c r="Q23" s="92">
        <f t="shared" si="0"/>
        <v>12360</v>
      </c>
      <c r="R23" s="93">
        <f t="shared" si="1"/>
        <v>12360</v>
      </c>
      <c r="S23" s="93">
        <v>0</v>
      </c>
      <c r="T23" s="93">
        <v>0</v>
      </c>
      <c r="U23" s="93">
        <v>0</v>
      </c>
      <c r="V23" s="94">
        <f t="shared" si="18"/>
        <v>12360</v>
      </c>
      <c r="W23" s="93">
        <v>0</v>
      </c>
      <c r="X23" s="93">
        <v>0</v>
      </c>
      <c r="Y23" s="94">
        <f t="shared" si="15"/>
        <v>12360</v>
      </c>
      <c r="Z23" s="92">
        <f t="shared" si="4"/>
        <v>12360</v>
      </c>
      <c r="AA23" s="92">
        <f t="shared" si="5"/>
        <v>12360</v>
      </c>
      <c r="AB23" s="92">
        <f t="shared" si="6"/>
        <v>1483</v>
      </c>
      <c r="AC23" s="86">
        <v>0</v>
      </c>
      <c r="AD23" s="82">
        <f t="shared" si="7"/>
        <v>93</v>
      </c>
      <c r="AE23" s="93">
        <f t="shared" si="8"/>
        <v>1029</v>
      </c>
      <c r="AF23" s="93">
        <f t="shared" si="9"/>
        <v>454</v>
      </c>
      <c r="AG23" s="95">
        <f t="shared" si="10"/>
        <v>401.7</v>
      </c>
      <c r="AH23" s="92">
        <v>0</v>
      </c>
      <c r="AI23" s="92">
        <v>0</v>
      </c>
      <c r="AJ23" s="93">
        <v>0</v>
      </c>
      <c r="AK23" s="86">
        <f t="shared" si="11"/>
        <v>0</v>
      </c>
      <c r="AL23" s="96">
        <v>0</v>
      </c>
      <c r="AM23" s="93">
        <f t="shared" si="12"/>
        <v>1576</v>
      </c>
      <c r="AN23" s="93">
        <f t="shared" si="16"/>
        <v>10784</v>
      </c>
      <c r="AO23" s="97"/>
      <c r="AR23" s="99"/>
      <c r="AS23" s="99"/>
      <c r="AT23" s="100"/>
    </row>
    <row r="24" spans="1:46" s="98" customFormat="1" x14ac:dyDescent="0.3">
      <c r="A24" s="118">
        <f t="shared" si="17"/>
        <v>22</v>
      </c>
      <c r="B24" s="116" t="s">
        <v>226</v>
      </c>
      <c r="C24" s="122">
        <v>44431</v>
      </c>
      <c r="D24" s="123"/>
      <c r="E24" s="124" t="s">
        <v>300</v>
      </c>
      <c r="F24" s="87">
        <v>50100453956994</v>
      </c>
      <c r="G24" s="86" t="s">
        <v>301</v>
      </c>
      <c r="H24" s="86" t="s">
        <v>351</v>
      </c>
      <c r="I24" s="86" t="s">
        <v>352</v>
      </c>
      <c r="J24" s="86">
        <v>5217671547</v>
      </c>
      <c r="K24" s="88">
        <v>38047</v>
      </c>
      <c r="L24" s="89" t="s">
        <v>304</v>
      </c>
      <c r="M24" s="125" t="s">
        <v>305</v>
      </c>
      <c r="N24" s="116">
        <f>VLOOKUP(B24,'Anchor-Attendance'!$B$4:$K$84,10,0)</f>
        <v>46073</v>
      </c>
      <c r="O24" s="126">
        <f>VLOOKUP(B24,'Anchor-Attendance'!$B$4:$BB$84,53,0)</f>
        <v>20</v>
      </c>
      <c r="P24" s="127">
        <v>12360</v>
      </c>
      <c r="Q24" s="120">
        <f t="shared" si="0"/>
        <v>8828.5714285714294</v>
      </c>
      <c r="R24" s="128">
        <f t="shared" si="1"/>
        <v>8828.5714285714294</v>
      </c>
      <c r="S24" s="128">
        <v>0</v>
      </c>
      <c r="T24" s="128">
        <v>0</v>
      </c>
      <c r="U24" s="128">
        <v>0</v>
      </c>
      <c r="V24" s="121">
        <f t="shared" si="18"/>
        <v>8829</v>
      </c>
      <c r="W24" s="128">
        <f>12360-V24</f>
        <v>3531</v>
      </c>
      <c r="X24" s="128">
        <f>AR24</f>
        <v>0</v>
      </c>
      <c r="Y24" s="121">
        <f t="shared" si="15"/>
        <v>12360</v>
      </c>
      <c r="Z24" s="120">
        <f t="shared" si="4"/>
        <v>8829</v>
      </c>
      <c r="AA24" s="120">
        <f t="shared" si="5"/>
        <v>8829</v>
      </c>
      <c r="AB24" s="120">
        <f t="shared" si="6"/>
        <v>1059</v>
      </c>
      <c r="AC24" s="124">
        <v>0</v>
      </c>
      <c r="AD24" s="118">
        <f t="shared" si="7"/>
        <v>93</v>
      </c>
      <c r="AE24" s="128">
        <f t="shared" si="8"/>
        <v>735</v>
      </c>
      <c r="AF24" s="128">
        <f t="shared" si="9"/>
        <v>324</v>
      </c>
      <c r="AG24" s="129">
        <f t="shared" si="10"/>
        <v>401.7</v>
      </c>
      <c r="AH24" s="120">
        <v>0</v>
      </c>
      <c r="AI24" s="120">
        <v>0</v>
      </c>
      <c r="AJ24" s="128">
        <v>0</v>
      </c>
      <c r="AK24" s="124">
        <f t="shared" si="11"/>
        <v>0</v>
      </c>
      <c r="AL24" s="118">
        <v>0</v>
      </c>
      <c r="AM24" s="128">
        <f t="shared" si="12"/>
        <v>1152</v>
      </c>
      <c r="AN24" s="128">
        <f t="shared" si="16"/>
        <v>11208</v>
      </c>
      <c r="AO24" s="130" t="s">
        <v>480</v>
      </c>
      <c r="AP24" s="101">
        <f>ROUND((N24-C24)/365,0)</f>
        <v>4</v>
      </c>
      <c r="AQ24" s="103"/>
      <c r="AR24" s="103"/>
      <c r="AS24" s="131"/>
      <c r="AT24" s="132"/>
    </row>
    <row r="25" spans="1:46" x14ac:dyDescent="0.3">
      <c r="A25" s="82">
        <f t="shared" si="17"/>
        <v>23</v>
      </c>
      <c r="B25" s="83" t="s">
        <v>106</v>
      </c>
      <c r="C25" s="84">
        <v>44431</v>
      </c>
      <c r="D25" s="85"/>
      <c r="E25" s="86" t="s">
        <v>300</v>
      </c>
      <c r="F25" s="87">
        <v>50100453957027</v>
      </c>
      <c r="G25" s="86" t="s">
        <v>342</v>
      </c>
      <c r="H25" s="86" t="s">
        <v>353</v>
      </c>
      <c r="I25" s="86" t="s">
        <v>354</v>
      </c>
      <c r="J25" s="86">
        <v>5217671469</v>
      </c>
      <c r="K25" s="88">
        <v>34898</v>
      </c>
      <c r="L25" s="89" t="s">
        <v>304</v>
      </c>
      <c r="M25" s="89" t="s">
        <v>305</v>
      </c>
      <c r="N25" s="83" t="s">
        <v>306</v>
      </c>
      <c r="O25" s="90">
        <f>VLOOKUP(B25,'Anchor-Attendance'!$B$4:$BB$84,53,0)</f>
        <v>28</v>
      </c>
      <c r="P25" s="91">
        <v>12360</v>
      </c>
      <c r="Q25" s="92">
        <f t="shared" si="0"/>
        <v>12360</v>
      </c>
      <c r="R25" s="93">
        <f t="shared" si="1"/>
        <v>12360</v>
      </c>
      <c r="S25" s="93">
        <v>0</v>
      </c>
      <c r="T25" s="93">
        <v>0</v>
      </c>
      <c r="U25" s="93">
        <v>0</v>
      </c>
      <c r="V25" s="94">
        <f t="shared" si="18"/>
        <v>12360</v>
      </c>
      <c r="W25" s="93">
        <v>0</v>
      </c>
      <c r="X25" s="93">
        <v>0</v>
      </c>
      <c r="Y25" s="94">
        <f t="shared" si="15"/>
        <v>12360</v>
      </c>
      <c r="Z25" s="92">
        <f t="shared" si="4"/>
        <v>12360</v>
      </c>
      <c r="AA25" s="92">
        <f t="shared" si="5"/>
        <v>12360</v>
      </c>
      <c r="AB25" s="92">
        <f t="shared" si="6"/>
        <v>1483</v>
      </c>
      <c r="AC25" s="86">
        <v>0</v>
      </c>
      <c r="AD25" s="82">
        <f t="shared" si="7"/>
        <v>93</v>
      </c>
      <c r="AE25" s="93">
        <f t="shared" si="8"/>
        <v>1029</v>
      </c>
      <c r="AF25" s="93">
        <f t="shared" si="9"/>
        <v>454</v>
      </c>
      <c r="AG25" s="95">
        <f t="shared" si="10"/>
        <v>401.7</v>
      </c>
      <c r="AH25" s="92">
        <v>0</v>
      </c>
      <c r="AI25" s="92">
        <v>0</v>
      </c>
      <c r="AJ25" s="93">
        <v>0</v>
      </c>
      <c r="AK25" s="86">
        <f t="shared" si="11"/>
        <v>0</v>
      </c>
      <c r="AL25" s="96">
        <v>0</v>
      </c>
      <c r="AM25" s="93">
        <f t="shared" si="12"/>
        <v>1576</v>
      </c>
      <c r="AN25" s="93">
        <f t="shared" si="16"/>
        <v>10784</v>
      </c>
      <c r="AO25" s="97"/>
      <c r="AR25" s="99"/>
      <c r="AS25" s="99"/>
      <c r="AT25" s="100"/>
    </row>
    <row r="26" spans="1:46" x14ac:dyDescent="0.3">
      <c r="A26" s="82">
        <f t="shared" si="17"/>
        <v>24</v>
      </c>
      <c r="B26" s="83" t="s">
        <v>210</v>
      </c>
      <c r="C26" s="84">
        <v>44522</v>
      </c>
      <c r="D26" s="85"/>
      <c r="E26" s="86" t="s">
        <v>300</v>
      </c>
      <c r="F26" s="87">
        <v>50100453958616</v>
      </c>
      <c r="G26" s="86" t="s">
        <v>301</v>
      </c>
      <c r="H26" s="86" t="s">
        <v>355</v>
      </c>
      <c r="I26" s="86" t="s">
        <v>356</v>
      </c>
      <c r="J26" s="86">
        <v>5217964768</v>
      </c>
      <c r="K26" s="88">
        <v>36557</v>
      </c>
      <c r="L26" s="89" t="s">
        <v>304</v>
      </c>
      <c r="M26" s="89" t="s">
        <v>305</v>
      </c>
      <c r="N26" s="83" t="s">
        <v>306</v>
      </c>
      <c r="O26" s="90">
        <f>VLOOKUP(B26,'Anchor-Attendance'!$B$4:$BB$84,53,0)</f>
        <v>28</v>
      </c>
      <c r="P26" s="91">
        <v>12360</v>
      </c>
      <c r="Q26" s="92">
        <f t="shared" si="0"/>
        <v>12360</v>
      </c>
      <c r="R26" s="93">
        <f t="shared" si="1"/>
        <v>12360</v>
      </c>
      <c r="S26" s="93">
        <v>0</v>
      </c>
      <c r="T26" s="93">
        <v>0</v>
      </c>
      <c r="U26" s="93">
        <v>0</v>
      </c>
      <c r="V26" s="94">
        <f t="shared" si="18"/>
        <v>12360</v>
      </c>
      <c r="W26" s="93">
        <v>0</v>
      </c>
      <c r="X26" s="93">
        <v>0</v>
      </c>
      <c r="Y26" s="94">
        <f t="shared" si="15"/>
        <v>12360</v>
      </c>
      <c r="Z26" s="92">
        <f t="shared" si="4"/>
        <v>12360</v>
      </c>
      <c r="AA26" s="92">
        <f t="shared" si="5"/>
        <v>12360</v>
      </c>
      <c r="AB26" s="92">
        <f t="shared" si="6"/>
        <v>1483</v>
      </c>
      <c r="AC26" s="86">
        <v>0</v>
      </c>
      <c r="AD26" s="82">
        <f t="shared" si="7"/>
        <v>93</v>
      </c>
      <c r="AE26" s="93">
        <f t="shared" si="8"/>
        <v>1029</v>
      </c>
      <c r="AF26" s="93">
        <f t="shared" si="9"/>
        <v>454</v>
      </c>
      <c r="AG26" s="95">
        <f t="shared" si="10"/>
        <v>401.7</v>
      </c>
      <c r="AH26" s="92">
        <v>0</v>
      </c>
      <c r="AI26" s="92">
        <v>0</v>
      </c>
      <c r="AJ26" s="93">
        <v>0</v>
      </c>
      <c r="AK26" s="86">
        <f t="shared" si="11"/>
        <v>0</v>
      </c>
      <c r="AL26" s="96">
        <v>0</v>
      </c>
      <c r="AM26" s="93">
        <f t="shared" si="12"/>
        <v>1576</v>
      </c>
      <c r="AN26" s="93">
        <f t="shared" si="16"/>
        <v>10784</v>
      </c>
      <c r="AO26" s="97"/>
      <c r="AR26" s="99"/>
      <c r="AS26" s="99"/>
      <c r="AT26" s="100"/>
    </row>
    <row r="27" spans="1:46" x14ac:dyDescent="0.3">
      <c r="A27" s="82">
        <f t="shared" si="17"/>
        <v>25</v>
      </c>
      <c r="B27" s="83" t="s">
        <v>71</v>
      </c>
      <c r="C27" s="84">
        <v>44522</v>
      </c>
      <c r="D27" s="85"/>
      <c r="E27" s="86" t="s">
        <v>300</v>
      </c>
      <c r="F27" s="87">
        <v>50100453957461</v>
      </c>
      <c r="G27" s="86" t="s">
        <v>301</v>
      </c>
      <c r="H27" s="86" t="s">
        <v>357</v>
      </c>
      <c r="I27" s="86" t="s">
        <v>358</v>
      </c>
      <c r="J27" s="86">
        <v>5217967622</v>
      </c>
      <c r="K27" s="88">
        <v>36525</v>
      </c>
      <c r="L27" s="89" t="s">
        <v>304</v>
      </c>
      <c r="M27" s="89" t="s">
        <v>305</v>
      </c>
      <c r="N27" s="83" t="s">
        <v>306</v>
      </c>
      <c r="O27" s="90">
        <f>VLOOKUP(B27,'Anchor-Attendance'!$B$4:$BB$84,53,0)</f>
        <v>28</v>
      </c>
      <c r="P27" s="91">
        <v>12360</v>
      </c>
      <c r="Q27" s="92">
        <f t="shared" si="0"/>
        <v>12360</v>
      </c>
      <c r="R27" s="93">
        <f t="shared" si="1"/>
        <v>12360</v>
      </c>
      <c r="S27" s="93">
        <v>0</v>
      </c>
      <c r="T27" s="93">
        <v>0</v>
      </c>
      <c r="U27" s="93">
        <v>0</v>
      </c>
      <c r="V27" s="94">
        <f t="shared" si="18"/>
        <v>12360</v>
      </c>
      <c r="W27" s="93">
        <v>0</v>
      </c>
      <c r="X27" s="93">
        <v>0</v>
      </c>
      <c r="Y27" s="94">
        <f t="shared" si="15"/>
        <v>12360</v>
      </c>
      <c r="Z27" s="92">
        <f t="shared" si="4"/>
        <v>12360</v>
      </c>
      <c r="AA27" s="92">
        <f t="shared" si="5"/>
        <v>12360</v>
      </c>
      <c r="AB27" s="92">
        <f t="shared" si="6"/>
        <v>1483</v>
      </c>
      <c r="AC27" s="86">
        <v>0</v>
      </c>
      <c r="AD27" s="82">
        <f t="shared" si="7"/>
        <v>93</v>
      </c>
      <c r="AE27" s="93">
        <f t="shared" si="8"/>
        <v>1029</v>
      </c>
      <c r="AF27" s="93">
        <f t="shared" si="9"/>
        <v>454</v>
      </c>
      <c r="AG27" s="95">
        <f t="shared" si="10"/>
        <v>401.7</v>
      </c>
      <c r="AH27" s="92">
        <v>0</v>
      </c>
      <c r="AI27" s="92">
        <v>0</v>
      </c>
      <c r="AJ27" s="93">
        <v>0</v>
      </c>
      <c r="AK27" s="86">
        <f t="shared" si="11"/>
        <v>0</v>
      </c>
      <c r="AL27" s="96">
        <v>0</v>
      </c>
      <c r="AM27" s="93">
        <f t="shared" si="12"/>
        <v>1576</v>
      </c>
      <c r="AN27" s="93">
        <f t="shared" si="16"/>
        <v>10784</v>
      </c>
      <c r="AO27" s="97"/>
      <c r="AR27" s="99"/>
      <c r="AS27" s="99"/>
      <c r="AT27" s="100"/>
    </row>
    <row r="28" spans="1:46" x14ac:dyDescent="0.3">
      <c r="A28" s="82">
        <f t="shared" si="17"/>
        <v>26</v>
      </c>
      <c r="B28" s="83" t="s">
        <v>115</v>
      </c>
      <c r="C28" s="84">
        <v>44522</v>
      </c>
      <c r="D28" s="85"/>
      <c r="E28" s="86" t="s">
        <v>300</v>
      </c>
      <c r="F28" s="87">
        <v>50100453958441</v>
      </c>
      <c r="G28" s="86" t="s">
        <v>301</v>
      </c>
      <c r="H28" s="86" t="s">
        <v>359</v>
      </c>
      <c r="I28" s="86" t="s">
        <v>360</v>
      </c>
      <c r="J28" s="86">
        <v>5217968917</v>
      </c>
      <c r="K28" s="88">
        <v>35108</v>
      </c>
      <c r="L28" s="89" t="s">
        <v>304</v>
      </c>
      <c r="M28" s="89" t="s">
        <v>305</v>
      </c>
      <c r="N28" s="83" t="s">
        <v>306</v>
      </c>
      <c r="O28" s="90">
        <f>VLOOKUP(B28,'Anchor-Attendance'!$B$4:$BB$84,53,0)</f>
        <v>28</v>
      </c>
      <c r="P28" s="91">
        <v>12360</v>
      </c>
      <c r="Q28" s="92">
        <f t="shared" si="0"/>
        <v>12360</v>
      </c>
      <c r="R28" s="93">
        <f t="shared" si="1"/>
        <v>12360</v>
      </c>
      <c r="S28" s="93">
        <v>0</v>
      </c>
      <c r="T28" s="93">
        <v>0</v>
      </c>
      <c r="U28" s="93">
        <v>0</v>
      </c>
      <c r="V28" s="94">
        <f t="shared" si="18"/>
        <v>12360</v>
      </c>
      <c r="W28" s="93">
        <v>0</v>
      </c>
      <c r="X28" s="93">
        <v>0</v>
      </c>
      <c r="Y28" s="94">
        <f t="shared" si="15"/>
        <v>12360</v>
      </c>
      <c r="Z28" s="92">
        <f t="shared" si="4"/>
        <v>12360</v>
      </c>
      <c r="AA28" s="92">
        <f t="shared" si="5"/>
        <v>12360</v>
      </c>
      <c r="AB28" s="92">
        <f t="shared" si="6"/>
        <v>1483</v>
      </c>
      <c r="AC28" s="86">
        <v>0</v>
      </c>
      <c r="AD28" s="82">
        <f t="shared" si="7"/>
        <v>93</v>
      </c>
      <c r="AE28" s="93">
        <f t="shared" si="8"/>
        <v>1029</v>
      </c>
      <c r="AF28" s="93">
        <f t="shared" si="9"/>
        <v>454</v>
      </c>
      <c r="AG28" s="95">
        <f t="shared" si="10"/>
        <v>401.7</v>
      </c>
      <c r="AH28" s="92">
        <v>0</v>
      </c>
      <c r="AI28" s="92">
        <v>0</v>
      </c>
      <c r="AJ28" s="93">
        <v>0</v>
      </c>
      <c r="AK28" s="86">
        <f t="shared" si="11"/>
        <v>0</v>
      </c>
      <c r="AL28" s="96">
        <v>0</v>
      </c>
      <c r="AM28" s="93">
        <f t="shared" si="12"/>
        <v>1576</v>
      </c>
      <c r="AN28" s="93">
        <f t="shared" si="16"/>
        <v>10784</v>
      </c>
      <c r="AO28" s="97"/>
      <c r="AR28" s="99"/>
      <c r="AS28" s="99"/>
      <c r="AT28" s="100"/>
    </row>
    <row r="29" spans="1:46" x14ac:dyDescent="0.3">
      <c r="A29" s="82">
        <f t="shared" si="17"/>
        <v>27</v>
      </c>
      <c r="B29" s="83" t="s">
        <v>63</v>
      </c>
      <c r="C29" s="84">
        <v>44522</v>
      </c>
      <c r="D29" s="85"/>
      <c r="E29" s="86" t="s">
        <v>300</v>
      </c>
      <c r="F29" s="87">
        <v>50100453957613</v>
      </c>
      <c r="G29" s="86" t="s">
        <v>301</v>
      </c>
      <c r="H29" s="86" t="s">
        <v>361</v>
      </c>
      <c r="I29" s="86" t="s">
        <v>362</v>
      </c>
      <c r="J29" s="86">
        <v>5217971852</v>
      </c>
      <c r="K29" s="88">
        <v>36481</v>
      </c>
      <c r="L29" s="89" t="s">
        <v>304</v>
      </c>
      <c r="M29" s="89" t="s">
        <v>305</v>
      </c>
      <c r="N29" s="83" t="s">
        <v>306</v>
      </c>
      <c r="O29" s="90">
        <f>VLOOKUP(B29,'Anchor-Attendance'!$B$4:$BB$84,53,0)</f>
        <v>28</v>
      </c>
      <c r="P29" s="91">
        <v>12360</v>
      </c>
      <c r="Q29" s="92">
        <f t="shared" si="0"/>
        <v>12360</v>
      </c>
      <c r="R29" s="93">
        <f t="shared" si="1"/>
        <v>12360</v>
      </c>
      <c r="S29" s="93">
        <v>0</v>
      </c>
      <c r="T29" s="93">
        <v>0</v>
      </c>
      <c r="U29" s="93">
        <v>0</v>
      </c>
      <c r="V29" s="94">
        <f t="shared" si="18"/>
        <v>12360</v>
      </c>
      <c r="W29" s="93">
        <v>0</v>
      </c>
      <c r="X29" s="93">
        <v>0</v>
      </c>
      <c r="Y29" s="94">
        <f t="shared" si="15"/>
        <v>12360</v>
      </c>
      <c r="Z29" s="92">
        <f t="shared" si="4"/>
        <v>12360</v>
      </c>
      <c r="AA29" s="92">
        <f t="shared" si="5"/>
        <v>12360</v>
      </c>
      <c r="AB29" s="92">
        <f t="shared" si="6"/>
        <v>1483</v>
      </c>
      <c r="AC29" s="86">
        <v>0</v>
      </c>
      <c r="AD29" s="82">
        <f t="shared" si="7"/>
        <v>93</v>
      </c>
      <c r="AE29" s="93">
        <f t="shared" si="8"/>
        <v>1029</v>
      </c>
      <c r="AF29" s="93">
        <f t="shared" si="9"/>
        <v>454</v>
      </c>
      <c r="AG29" s="95">
        <f t="shared" si="10"/>
        <v>401.7</v>
      </c>
      <c r="AH29" s="92">
        <v>0</v>
      </c>
      <c r="AI29" s="92">
        <v>0</v>
      </c>
      <c r="AJ29" s="93">
        <v>0</v>
      </c>
      <c r="AK29" s="86">
        <f t="shared" si="11"/>
        <v>0</v>
      </c>
      <c r="AL29" s="96">
        <v>0</v>
      </c>
      <c r="AM29" s="93">
        <f t="shared" si="12"/>
        <v>1576</v>
      </c>
      <c r="AN29" s="93">
        <f t="shared" si="16"/>
        <v>10784</v>
      </c>
      <c r="AO29" s="97"/>
      <c r="AR29" s="99"/>
      <c r="AS29" s="99"/>
      <c r="AT29" s="100"/>
    </row>
    <row r="30" spans="1:46" s="139" customFormat="1" x14ac:dyDescent="0.3">
      <c r="A30" s="118">
        <f t="shared" si="17"/>
        <v>28</v>
      </c>
      <c r="B30" s="115" t="s">
        <v>218</v>
      </c>
      <c r="C30" s="122">
        <v>44845</v>
      </c>
      <c r="D30" s="133"/>
      <c r="E30" s="124" t="s">
        <v>300</v>
      </c>
      <c r="F30" s="87">
        <v>50100515744043</v>
      </c>
      <c r="G30" s="86" t="s">
        <v>363</v>
      </c>
      <c r="H30" s="86" t="s">
        <v>364</v>
      </c>
      <c r="I30" s="86" t="s">
        <v>365</v>
      </c>
      <c r="J30" s="86">
        <v>5218492977</v>
      </c>
      <c r="K30" s="88">
        <v>36958</v>
      </c>
      <c r="L30" s="89" t="s">
        <v>304</v>
      </c>
      <c r="M30" s="125" t="s">
        <v>305</v>
      </c>
      <c r="N30" s="115">
        <f>VLOOKUP(B30,'Anchor-Attendance'!$B$4:$K$84,10,0)</f>
        <v>46076</v>
      </c>
      <c r="O30" s="126">
        <f>VLOOKUP(B30,'Anchor-Attendance'!$B$4:$BB$84,53,0)</f>
        <v>13.5</v>
      </c>
      <c r="P30" s="135">
        <v>12360</v>
      </c>
      <c r="Q30" s="136">
        <f t="shared" si="0"/>
        <v>5959.2857142857147</v>
      </c>
      <c r="R30" s="128">
        <f>Q30*100%</f>
        <v>5959.2857142857147</v>
      </c>
      <c r="S30" s="128">
        <f>Q30*0%</f>
        <v>0</v>
      </c>
      <c r="T30" s="128">
        <v>0</v>
      </c>
      <c r="U30" s="128">
        <v>0</v>
      </c>
      <c r="V30" s="137">
        <f t="shared" si="18"/>
        <v>5959</v>
      </c>
      <c r="W30" s="128">
        <f>12360-V30</f>
        <v>6401</v>
      </c>
      <c r="X30" s="128">
        <f>AR30</f>
        <v>0</v>
      </c>
      <c r="Y30" s="137">
        <f t="shared" si="15"/>
        <v>12360</v>
      </c>
      <c r="Z30" s="136">
        <f t="shared" si="4"/>
        <v>5959</v>
      </c>
      <c r="AA30" s="136">
        <f t="shared" si="5"/>
        <v>5959</v>
      </c>
      <c r="AB30" s="136">
        <f t="shared" si="6"/>
        <v>715</v>
      </c>
      <c r="AC30" s="124">
        <v>0</v>
      </c>
      <c r="AD30" s="134">
        <f t="shared" si="7"/>
        <v>93</v>
      </c>
      <c r="AE30" s="128">
        <f t="shared" si="8"/>
        <v>496</v>
      </c>
      <c r="AF30" s="128">
        <f t="shared" si="9"/>
        <v>219</v>
      </c>
      <c r="AG30" s="138">
        <f t="shared" si="10"/>
        <v>401.7</v>
      </c>
      <c r="AH30" s="136">
        <v>0</v>
      </c>
      <c r="AI30" s="136">
        <v>0</v>
      </c>
      <c r="AJ30" s="128">
        <v>0</v>
      </c>
      <c r="AK30" s="124">
        <f t="shared" si="11"/>
        <v>0</v>
      </c>
      <c r="AL30" s="118">
        <v>0</v>
      </c>
      <c r="AM30" s="128">
        <f t="shared" si="12"/>
        <v>808</v>
      </c>
      <c r="AN30" s="128">
        <f t="shared" si="16"/>
        <v>11552</v>
      </c>
      <c r="AO30" s="130" t="s">
        <v>480</v>
      </c>
      <c r="AP30" s="101">
        <f>ROUND((N30-C30)/365,0)</f>
        <v>3</v>
      </c>
      <c r="AQ30" s="103"/>
      <c r="AR30" s="103"/>
      <c r="AS30" s="131"/>
      <c r="AT30" s="132"/>
    </row>
    <row r="31" spans="1:46" x14ac:dyDescent="0.3">
      <c r="A31" s="82">
        <f t="shared" si="17"/>
        <v>29</v>
      </c>
      <c r="B31" s="83" t="s">
        <v>65</v>
      </c>
      <c r="C31" s="84">
        <v>44845</v>
      </c>
      <c r="D31" s="85"/>
      <c r="E31" s="86" t="s">
        <v>300</v>
      </c>
      <c r="F31" s="87">
        <v>50100515744501</v>
      </c>
      <c r="G31" s="86" t="s">
        <v>363</v>
      </c>
      <c r="H31" s="86" t="s">
        <v>366</v>
      </c>
      <c r="I31" s="86" t="s">
        <v>367</v>
      </c>
      <c r="J31" s="86">
        <v>5218511775</v>
      </c>
      <c r="K31" s="88">
        <v>35316</v>
      </c>
      <c r="L31" s="89" t="s">
        <v>304</v>
      </c>
      <c r="M31" s="89" t="s">
        <v>305</v>
      </c>
      <c r="N31" s="83" t="s">
        <v>306</v>
      </c>
      <c r="O31" s="90">
        <f>VLOOKUP(B31,'Anchor-Attendance'!$B$4:$BB$84,53,0)</f>
        <v>28</v>
      </c>
      <c r="P31" s="91">
        <v>12360</v>
      </c>
      <c r="Q31" s="92">
        <f t="shared" si="0"/>
        <v>12360</v>
      </c>
      <c r="R31" s="93">
        <f t="shared" ref="R31:R32" si="22">Q31*100%</f>
        <v>12360</v>
      </c>
      <c r="S31" s="93">
        <v>0</v>
      </c>
      <c r="T31" s="93">
        <v>0</v>
      </c>
      <c r="U31" s="93">
        <v>0</v>
      </c>
      <c r="V31" s="94">
        <f t="shared" si="18"/>
        <v>12360</v>
      </c>
      <c r="W31" s="93">
        <v>0</v>
      </c>
      <c r="X31" s="93">
        <v>0</v>
      </c>
      <c r="Y31" s="94">
        <f t="shared" si="15"/>
        <v>12360</v>
      </c>
      <c r="Z31" s="92">
        <f t="shared" si="4"/>
        <v>12360</v>
      </c>
      <c r="AA31" s="92">
        <f t="shared" si="5"/>
        <v>12360</v>
      </c>
      <c r="AB31" s="92">
        <f t="shared" si="6"/>
        <v>1483</v>
      </c>
      <c r="AC31" s="86">
        <v>0</v>
      </c>
      <c r="AD31" s="82">
        <f t="shared" si="7"/>
        <v>93</v>
      </c>
      <c r="AE31" s="93">
        <f t="shared" si="8"/>
        <v>1029</v>
      </c>
      <c r="AF31" s="93">
        <f t="shared" si="9"/>
        <v>454</v>
      </c>
      <c r="AG31" s="95">
        <f t="shared" si="10"/>
        <v>401.7</v>
      </c>
      <c r="AH31" s="92">
        <v>0</v>
      </c>
      <c r="AI31" s="92">
        <v>0</v>
      </c>
      <c r="AJ31" s="93">
        <v>0</v>
      </c>
      <c r="AK31" s="86">
        <f t="shared" si="11"/>
        <v>0</v>
      </c>
      <c r="AL31" s="96">
        <v>0</v>
      </c>
      <c r="AM31" s="93">
        <f t="shared" si="12"/>
        <v>1576</v>
      </c>
      <c r="AN31" s="93">
        <f t="shared" si="16"/>
        <v>10784</v>
      </c>
      <c r="AO31" s="97"/>
      <c r="AR31" s="99"/>
      <c r="AS31" s="99"/>
      <c r="AT31" s="100"/>
    </row>
    <row r="32" spans="1:46" x14ac:dyDescent="0.3">
      <c r="A32" s="82">
        <f t="shared" si="17"/>
        <v>30</v>
      </c>
      <c r="B32" s="83" t="s">
        <v>85</v>
      </c>
      <c r="C32" s="84">
        <v>44909</v>
      </c>
      <c r="D32" s="85"/>
      <c r="E32" s="86" t="s">
        <v>300</v>
      </c>
      <c r="F32" s="87">
        <v>50100593151791</v>
      </c>
      <c r="G32" s="86" t="s">
        <v>301</v>
      </c>
      <c r="H32" s="86" t="s">
        <v>368</v>
      </c>
      <c r="I32" s="86" t="s">
        <v>369</v>
      </c>
      <c r="J32" s="86">
        <v>5219228476</v>
      </c>
      <c r="K32" s="88">
        <v>36246</v>
      </c>
      <c r="L32" s="89" t="s">
        <v>304</v>
      </c>
      <c r="M32" s="89" t="s">
        <v>305</v>
      </c>
      <c r="N32" s="83" t="s">
        <v>306</v>
      </c>
      <c r="O32" s="90">
        <f>VLOOKUP(B32,'Anchor-Attendance'!$B$4:$BB$84,53,0)</f>
        <v>28</v>
      </c>
      <c r="P32" s="91">
        <v>12360</v>
      </c>
      <c r="Q32" s="92">
        <f t="shared" si="0"/>
        <v>12360</v>
      </c>
      <c r="R32" s="93">
        <f t="shared" si="22"/>
        <v>12360</v>
      </c>
      <c r="S32" s="93">
        <v>0</v>
      </c>
      <c r="T32" s="93">
        <v>0</v>
      </c>
      <c r="U32" s="93">
        <v>0</v>
      </c>
      <c r="V32" s="94">
        <f t="shared" si="18"/>
        <v>12360</v>
      </c>
      <c r="W32" s="93">
        <v>0</v>
      </c>
      <c r="X32" s="93">
        <v>0</v>
      </c>
      <c r="Y32" s="94">
        <f t="shared" si="15"/>
        <v>12360</v>
      </c>
      <c r="Z32" s="92">
        <f t="shared" si="4"/>
        <v>12360</v>
      </c>
      <c r="AA32" s="92">
        <f t="shared" si="5"/>
        <v>12360</v>
      </c>
      <c r="AB32" s="92">
        <f t="shared" si="6"/>
        <v>1483</v>
      </c>
      <c r="AC32" s="86">
        <v>0</v>
      </c>
      <c r="AD32" s="82">
        <f t="shared" si="7"/>
        <v>93</v>
      </c>
      <c r="AE32" s="93">
        <f t="shared" si="8"/>
        <v>1029</v>
      </c>
      <c r="AF32" s="93">
        <f t="shared" si="9"/>
        <v>454</v>
      </c>
      <c r="AG32" s="95">
        <f t="shared" si="10"/>
        <v>401.7</v>
      </c>
      <c r="AH32" s="92">
        <v>0</v>
      </c>
      <c r="AI32" s="92">
        <v>0</v>
      </c>
      <c r="AJ32" s="93">
        <v>0</v>
      </c>
      <c r="AK32" s="86">
        <f t="shared" si="11"/>
        <v>0</v>
      </c>
      <c r="AL32" s="96">
        <v>0</v>
      </c>
      <c r="AM32" s="93">
        <f t="shared" si="12"/>
        <v>1576</v>
      </c>
      <c r="AN32" s="93">
        <f t="shared" si="16"/>
        <v>10784</v>
      </c>
      <c r="AO32" s="97"/>
      <c r="AR32" s="99"/>
      <c r="AS32" s="99"/>
      <c r="AT32" s="100"/>
    </row>
    <row r="33" spans="1:46" x14ac:dyDescent="0.3">
      <c r="A33" s="82">
        <f t="shared" si="17"/>
        <v>31</v>
      </c>
      <c r="B33" s="83" t="s">
        <v>212</v>
      </c>
      <c r="C33" s="84">
        <v>44909</v>
      </c>
      <c r="D33" s="85"/>
      <c r="E33" s="86" t="s">
        <v>370</v>
      </c>
      <c r="F33" s="87">
        <v>50100588150401</v>
      </c>
      <c r="G33" s="86" t="s">
        <v>301</v>
      </c>
      <c r="H33" s="86" t="s">
        <v>371</v>
      </c>
      <c r="I33" s="86" t="s">
        <v>372</v>
      </c>
      <c r="J33" s="86">
        <v>5219233496</v>
      </c>
      <c r="K33" s="88">
        <v>37765</v>
      </c>
      <c r="L33" s="89" t="s">
        <v>304</v>
      </c>
      <c r="M33" s="89" t="s">
        <v>305</v>
      </c>
      <c r="N33" s="83" t="s">
        <v>306</v>
      </c>
      <c r="O33" s="90">
        <f>VLOOKUP(B33,'Anchor-Attendance'!$B$4:$BB$84,53,0)</f>
        <v>28</v>
      </c>
      <c r="P33" s="91">
        <v>17000</v>
      </c>
      <c r="Q33" s="92">
        <f t="shared" si="0"/>
        <v>17000</v>
      </c>
      <c r="R33" s="93">
        <f t="shared" ref="R33" si="23">Q33*90%</f>
        <v>15300</v>
      </c>
      <c r="S33" s="93">
        <f t="shared" ref="S33" si="24">Q33*10%</f>
        <v>1700</v>
      </c>
      <c r="T33" s="93">
        <v>0</v>
      </c>
      <c r="U33" s="93">
        <v>0</v>
      </c>
      <c r="V33" s="94">
        <f t="shared" si="18"/>
        <v>17000</v>
      </c>
      <c r="W33" s="93">
        <v>0</v>
      </c>
      <c r="X33" s="93">
        <v>0</v>
      </c>
      <c r="Y33" s="94">
        <f t="shared" si="15"/>
        <v>17000</v>
      </c>
      <c r="Z33" s="92">
        <f t="shared" si="4"/>
        <v>15300</v>
      </c>
      <c r="AA33" s="92">
        <f t="shared" si="5"/>
        <v>15000</v>
      </c>
      <c r="AB33" s="92">
        <f t="shared" si="6"/>
        <v>1800</v>
      </c>
      <c r="AC33" s="86">
        <v>0</v>
      </c>
      <c r="AD33" s="82">
        <f t="shared" si="7"/>
        <v>128</v>
      </c>
      <c r="AE33" s="93">
        <f t="shared" si="8"/>
        <v>1250</v>
      </c>
      <c r="AF33" s="93">
        <f t="shared" si="9"/>
        <v>550</v>
      </c>
      <c r="AG33" s="95">
        <f t="shared" si="10"/>
        <v>552.5</v>
      </c>
      <c r="AH33" s="92">
        <v>0</v>
      </c>
      <c r="AI33" s="92">
        <v>0</v>
      </c>
      <c r="AJ33" s="93">
        <v>0</v>
      </c>
      <c r="AK33" s="86">
        <f t="shared" si="11"/>
        <v>150</v>
      </c>
      <c r="AL33" s="96">
        <v>0</v>
      </c>
      <c r="AM33" s="93">
        <f t="shared" si="12"/>
        <v>1928</v>
      </c>
      <c r="AN33" s="93">
        <f t="shared" si="16"/>
        <v>14922</v>
      </c>
      <c r="AO33" s="97"/>
      <c r="AR33" s="99"/>
      <c r="AS33" s="99"/>
      <c r="AT33" s="100"/>
    </row>
    <row r="34" spans="1:46" x14ac:dyDescent="0.3">
      <c r="A34" s="82">
        <f t="shared" si="17"/>
        <v>32</v>
      </c>
      <c r="B34" s="83" t="s">
        <v>215</v>
      </c>
      <c r="C34" s="84">
        <v>45033</v>
      </c>
      <c r="D34" s="85"/>
      <c r="E34" s="86" t="s">
        <v>370</v>
      </c>
      <c r="F34" s="87">
        <v>50100593127712</v>
      </c>
      <c r="G34" s="86" t="s">
        <v>301</v>
      </c>
      <c r="H34" s="86" t="s">
        <v>373</v>
      </c>
      <c r="I34" s="86" t="s">
        <v>374</v>
      </c>
      <c r="J34" s="86">
        <v>5219251248</v>
      </c>
      <c r="K34" s="88">
        <v>37795</v>
      </c>
      <c r="L34" s="89" t="s">
        <v>304</v>
      </c>
      <c r="M34" s="89" t="s">
        <v>305</v>
      </c>
      <c r="N34" s="83" t="s">
        <v>306</v>
      </c>
      <c r="O34" s="90">
        <f>VLOOKUP(B34,'Anchor-Attendance'!$B$4:$BB$84,53,0)</f>
        <v>28</v>
      </c>
      <c r="P34" s="91">
        <v>17000</v>
      </c>
      <c r="Q34" s="92">
        <f t="shared" si="0"/>
        <v>17000</v>
      </c>
      <c r="R34" s="93">
        <f t="shared" ref="R34" si="25">Q34*90%</f>
        <v>15300</v>
      </c>
      <c r="S34" s="93">
        <f t="shared" ref="S34" si="26">Q34*10%</f>
        <v>1700</v>
      </c>
      <c r="T34" s="93">
        <v>0</v>
      </c>
      <c r="U34" s="93">
        <v>0</v>
      </c>
      <c r="V34" s="94">
        <f t="shared" si="18"/>
        <v>17000</v>
      </c>
      <c r="W34" s="93">
        <v>0</v>
      </c>
      <c r="X34" s="93">
        <v>0</v>
      </c>
      <c r="Y34" s="94">
        <f t="shared" si="15"/>
        <v>17000</v>
      </c>
      <c r="Z34" s="92">
        <f t="shared" si="4"/>
        <v>15300</v>
      </c>
      <c r="AA34" s="92">
        <f t="shared" si="5"/>
        <v>15000</v>
      </c>
      <c r="AB34" s="92">
        <f t="shared" si="6"/>
        <v>1800</v>
      </c>
      <c r="AC34" s="86">
        <v>0</v>
      </c>
      <c r="AD34" s="82">
        <f t="shared" si="7"/>
        <v>128</v>
      </c>
      <c r="AE34" s="93">
        <f t="shared" si="8"/>
        <v>1250</v>
      </c>
      <c r="AF34" s="93">
        <f t="shared" si="9"/>
        <v>550</v>
      </c>
      <c r="AG34" s="95">
        <f t="shared" si="10"/>
        <v>552.5</v>
      </c>
      <c r="AH34" s="92">
        <v>0</v>
      </c>
      <c r="AI34" s="92">
        <v>0</v>
      </c>
      <c r="AJ34" s="93">
        <v>0</v>
      </c>
      <c r="AK34" s="86">
        <f t="shared" si="11"/>
        <v>150</v>
      </c>
      <c r="AL34" s="96">
        <v>0</v>
      </c>
      <c r="AM34" s="93">
        <f t="shared" si="12"/>
        <v>1928</v>
      </c>
      <c r="AN34" s="93">
        <f t="shared" si="16"/>
        <v>14922</v>
      </c>
      <c r="AO34" s="97"/>
      <c r="AR34" s="99"/>
      <c r="AS34" s="99"/>
      <c r="AT34" s="100"/>
    </row>
    <row r="35" spans="1:46" x14ac:dyDescent="0.3">
      <c r="A35" s="82">
        <f t="shared" si="17"/>
        <v>33</v>
      </c>
      <c r="B35" s="83" t="s">
        <v>133</v>
      </c>
      <c r="C35" s="84">
        <v>45033</v>
      </c>
      <c r="D35" s="85"/>
      <c r="E35" s="86" t="s">
        <v>300</v>
      </c>
      <c r="F35" s="87">
        <v>50100594492073</v>
      </c>
      <c r="G35" s="86" t="s">
        <v>363</v>
      </c>
      <c r="H35" s="86" t="s">
        <v>375</v>
      </c>
      <c r="I35" s="86" t="s">
        <v>376</v>
      </c>
      <c r="J35" s="86">
        <v>5219301318</v>
      </c>
      <c r="K35" s="88">
        <v>37261</v>
      </c>
      <c r="L35" s="89" t="s">
        <v>304</v>
      </c>
      <c r="M35" s="89" t="s">
        <v>305</v>
      </c>
      <c r="N35" s="83" t="s">
        <v>306</v>
      </c>
      <c r="O35" s="90">
        <f>VLOOKUP(B35,'Anchor-Attendance'!$B$4:$BB$84,53,0)</f>
        <v>28</v>
      </c>
      <c r="P35" s="91">
        <v>12360</v>
      </c>
      <c r="Q35" s="92">
        <f t="shared" si="0"/>
        <v>12360</v>
      </c>
      <c r="R35" s="93">
        <f t="shared" ref="R35:R38" si="27">Q35*100%</f>
        <v>12360</v>
      </c>
      <c r="S35" s="93">
        <v>0</v>
      </c>
      <c r="T35" s="93">
        <v>0</v>
      </c>
      <c r="U35" s="93">
        <v>0</v>
      </c>
      <c r="V35" s="94">
        <f t="shared" si="18"/>
        <v>12360</v>
      </c>
      <c r="W35" s="93">
        <v>0</v>
      </c>
      <c r="X35" s="93">
        <v>0</v>
      </c>
      <c r="Y35" s="94">
        <f t="shared" si="15"/>
        <v>12360</v>
      </c>
      <c r="Z35" s="92">
        <f t="shared" si="4"/>
        <v>12360</v>
      </c>
      <c r="AA35" s="92">
        <f t="shared" si="5"/>
        <v>12360</v>
      </c>
      <c r="AB35" s="92">
        <f t="shared" si="6"/>
        <v>1483</v>
      </c>
      <c r="AC35" s="86">
        <v>0</v>
      </c>
      <c r="AD35" s="82">
        <f t="shared" si="7"/>
        <v>93</v>
      </c>
      <c r="AE35" s="93">
        <f t="shared" si="8"/>
        <v>1029</v>
      </c>
      <c r="AF35" s="93">
        <f t="shared" si="9"/>
        <v>454</v>
      </c>
      <c r="AG35" s="95">
        <f t="shared" si="10"/>
        <v>401.7</v>
      </c>
      <c r="AH35" s="92">
        <v>0</v>
      </c>
      <c r="AI35" s="92">
        <v>0</v>
      </c>
      <c r="AJ35" s="93">
        <v>0</v>
      </c>
      <c r="AK35" s="86">
        <f t="shared" si="11"/>
        <v>0</v>
      </c>
      <c r="AL35" s="96">
        <v>0</v>
      </c>
      <c r="AM35" s="93">
        <f t="shared" si="12"/>
        <v>1576</v>
      </c>
      <c r="AN35" s="93">
        <f t="shared" si="16"/>
        <v>10784</v>
      </c>
      <c r="AO35" s="97"/>
      <c r="AR35" s="99"/>
      <c r="AS35" s="99"/>
      <c r="AT35" s="100"/>
    </row>
    <row r="36" spans="1:46" x14ac:dyDescent="0.3">
      <c r="A36" s="82">
        <f t="shared" si="17"/>
        <v>34</v>
      </c>
      <c r="B36" s="83" t="s">
        <v>186</v>
      </c>
      <c r="C36" s="84">
        <v>45086</v>
      </c>
      <c r="D36" s="85"/>
      <c r="E36" s="86" t="s">
        <v>300</v>
      </c>
      <c r="F36" s="87">
        <v>50100662377172</v>
      </c>
      <c r="G36" s="86" t="s">
        <v>363</v>
      </c>
      <c r="H36" s="86" t="s">
        <v>377</v>
      </c>
      <c r="I36" s="86" t="s">
        <v>378</v>
      </c>
      <c r="J36" s="86">
        <v>5219753348</v>
      </c>
      <c r="K36" s="88">
        <v>37735</v>
      </c>
      <c r="L36" s="89" t="s">
        <v>304</v>
      </c>
      <c r="M36" s="89" t="s">
        <v>305</v>
      </c>
      <c r="N36" s="83" t="s">
        <v>306</v>
      </c>
      <c r="O36" s="90">
        <f>VLOOKUP(B36,'Anchor-Attendance'!$B$4:$BB$84,53,0)</f>
        <v>28</v>
      </c>
      <c r="P36" s="91">
        <v>12360</v>
      </c>
      <c r="Q36" s="92">
        <f t="shared" si="0"/>
        <v>12360</v>
      </c>
      <c r="R36" s="93">
        <f t="shared" si="27"/>
        <v>12360</v>
      </c>
      <c r="S36" s="93">
        <v>0</v>
      </c>
      <c r="T36" s="93">
        <v>0</v>
      </c>
      <c r="U36" s="93">
        <v>0</v>
      </c>
      <c r="V36" s="94">
        <f t="shared" si="18"/>
        <v>12360</v>
      </c>
      <c r="W36" s="93">
        <v>0</v>
      </c>
      <c r="X36" s="93">
        <v>0</v>
      </c>
      <c r="Y36" s="94">
        <f t="shared" si="15"/>
        <v>12360</v>
      </c>
      <c r="Z36" s="92">
        <f t="shared" si="4"/>
        <v>12360</v>
      </c>
      <c r="AA36" s="92">
        <f t="shared" si="5"/>
        <v>12360</v>
      </c>
      <c r="AB36" s="92">
        <f t="shared" si="6"/>
        <v>1483</v>
      </c>
      <c r="AC36" s="86">
        <v>0</v>
      </c>
      <c r="AD36" s="82">
        <f t="shared" si="7"/>
        <v>93</v>
      </c>
      <c r="AE36" s="93">
        <f t="shared" si="8"/>
        <v>1029</v>
      </c>
      <c r="AF36" s="93">
        <f t="shared" si="9"/>
        <v>454</v>
      </c>
      <c r="AG36" s="95">
        <f t="shared" si="10"/>
        <v>401.7</v>
      </c>
      <c r="AH36" s="92">
        <v>0</v>
      </c>
      <c r="AI36" s="92">
        <v>0</v>
      </c>
      <c r="AJ36" s="93">
        <v>0</v>
      </c>
      <c r="AK36" s="86">
        <f t="shared" si="11"/>
        <v>0</v>
      </c>
      <c r="AL36" s="96">
        <v>0</v>
      </c>
      <c r="AM36" s="93">
        <f t="shared" si="12"/>
        <v>1576</v>
      </c>
      <c r="AN36" s="93">
        <f t="shared" si="16"/>
        <v>10784</v>
      </c>
      <c r="AO36" s="97"/>
      <c r="AR36" s="99"/>
      <c r="AS36" s="99"/>
      <c r="AT36" s="100"/>
    </row>
    <row r="37" spans="1:46" x14ac:dyDescent="0.3">
      <c r="A37" s="82">
        <f t="shared" ref="A37:A68" si="28">A36+1</f>
        <v>35</v>
      </c>
      <c r="B37" s="83" t="s">
        <v>191</v>
      </c>
      <c r="C37" s="84">
        <v>45086</v>
      </c>
      <c r="D37" s="85"/>
      <c r="E37" s="86" t="s">
        <v>300</v>
      </c>
      <c r="F37" s="87">
        <v>50100662377376</v>
      </c>
      <c r="G37" s="86" t="s">
        <v>363</v>
      </c>
      <c r="H37" s="86" t="s">
        <v>379</v>
      </c>
      <c r="I37" s="86" t="s">
        <v>380</v>
      </c>
      <c r="J37" s="86">
        <v>5219753019</v>
      </c>
      <c r="K37" s="88">
        <v>37846</v>
      </c>
      <c r="L37" s="89" t="s">
        <v>304</v>
      </c>
      <c r="M37" s="89" t="s">
        <v>305</v>
      </c>
      <c r="N37" s="83" t="s">
        <v>306</v>
      </c>
      <c r="O37" s="90">
        <f>VLOOKUP(B37,'Anchor-Attendance'!$B$4:$BB$84,53,0)</f>
        <v>27.5</v>
      </c>
      <c r="P37" s="91">
        <v>12360</v>
      </c>
      <c r="Q37" s="92">
        <f t="shared" si="0"/>
        <v>12139.285714285716</v>
      </c>
      <c r="R37" s="93">
        <f t="shared" si="27"/>
        <v>12139.285714285716</v>
      </c>
      <c r="S37" s="93">
        <v>0</v>
      </c>
      <c r="T37" s="93">
        <v>0</v>
      </c>
      <c r="U37" s="93">
        <v>0</v>
      </c>
      <c r="V37" s="94">
        <f t="shared" si="18"/>
        <v>12139</v>
      </c>
      <c r="W37" s="93">
        <v>0</v>
      </c>
      <c r="X37" s="93">
        <v>0</v>
      </c>
      <c r="Y37" s="94">
        <f t="shared" si="15"/>
        <v>12139</v>
      </c>
      <c r="Z37" s="92">
        <f t="shared" si="4"/>
        <v>12139</v>
      </c>
      <c r="AA37" s="92">
        <f t="shared" si="5"/>
        <v>12139</v>
      </c>
      <c r="AB37" s="92">
        <f t="shared" si="6"/>
        <v>1457</v>
      </c>
      <c r="AC37" s="86">
        <v>0</v>
      </c>
      <c r="AD37" s="82">
        <f t="shared" si="7"/>
        <v>92</v>
      </c>
      <c r="AE37" s="93">
        <f t="shared" si="8"/>
        <v>1011</v>
      </c>
      <c r="AF37" s="93">
        <f t="shared" si="9"/>
        <v>446</v>
      </c>
      <c r="AG37" s="95">
        <f t="shared" si="10"/>
        <v>394.51750000000004</v>
      </c>
      <c r="AH37" s="92">
        <v>0</v>
      </c>
      <c r="AI37" s="92">
        <v>0</v>
      </c>
      <c r="AJ37" s="93">
        <v>0</v>
      </c>
      <c r="AK37" s="86">
        <f t="shared" si="11"/>
        <v>0</v>
      </c>
      <c r="AL37" s="96">
        <v>0</v>
      </c>
      <c r="AM37" s="93">
        <f t="shared" si="12"/>
        <v>1549</v>
      </c>
      <c r="AN37" s="93">
        <f t="shared" si="16"/>
        <v>10590</v>
      </c>
      <c r="AO37" s="97"/>
      <c r="AR37" s="99"/>
      <c r="AS37" s="99"/>
      <c r="AT37" s="100"/>
    </row>
    <row r="38" spans="1:46" x14ac:dyDescent="0.3">
      <c r="A38" s="82">
        <f t="shared" si="28"/>
        <v>36</v>
      </c>
      <c r="B38" s="83" t="s">
        <v>189</v>
      </c>
      <c r="C38" s="84">
        <v>45086</v>
      </c>
      <c r="D38" s="85"/>
      <c r="E38" s="86" t="s">
        <v>300</v>
      </c>
      <c r="F38" s="87">
        <v>50100662377324</v>
      </c>
      <c r="G38" s="86" t="s">
        <v>363</v>
      </c>
      <c r="H38" s="86" t="s">
        <v>381</v>
      </c>
      <c r="I38" s="86" t="s">
        <v>382</v>
      </c>
      <c r="J38" s="86">
        <v>5219753255</v>
      </c>
      <c r="K38" s="88">
        <v>36644</v>
      </c>
      <c r="L38" s="89" t="s">
        <v>304</v>
      </c>
      <c r="M38" s="89" t="s">
        <v>305</v>
      </c>
      <c r="N38" s="83" t="s">
        <v>306</v>
      </c>
      <c r="O38" s="90">
        <f>VLOOKUP(B38,'Anchor-Attendance'!$B$4:$BB$84,53,0)</f>
        <v>28</v>
      </c>
      <c r="P38" s="91">
        <v>12360</v>
      </c>
      <c r="Q38" s="92">
        <f t="shared" si="0"/>
        <v>12360</v>
      </c>
      <c r="R38" s="93">
        <f t="shared" si="27"/>
        <v>12360</v>
      </c>
      <c r="S38" s="93">
        <v>0</v>
      </c>
      <c r="T38" s="93">
        <v>0</v>
      </c>
      <c r="U38" s="93">
        <v>0</v>
      </c>
      <c r="V38" s="94">
        <f t="shared" si="18"/>
        <v>12360</v>
      </c>
      <c r="W38" s="93">
        <v>0</v>
      </c>
      <c r="X38" s="93">
        <v>0</v>
      </c>
      <c r="Y38" s="94">
        <f t="shared" si="15"/>
        <v>12360</v>
      </c>
      <c r="Z38" s="92">
        <f t="shared" si="4"/>
        <v>12360</v>
      </c>
      <c r="AA38" s="92">
        <f t="shared" si="5"/>
        <v>12360</v>
      </c>
      <c r="AB38" s="92">
        <f t="shared" si="6"/>
        <v>1483</v>
      </c>
      <c r="AC38" s="86">
        <v>0</v>
      </c>
      <c r="AD38" s="82">
        <f t="shared" si="7"/>
        <v>93</v>
      </c>
      <c r="AE38" s="93">
        <f t="shared" si="8"/>
        <v>1029</v>
      </c>
      <c r="AF38" s="93">
        <f t="shared" si="9"/>
        <v>454</v>
      </c>
      <c r="AG38" s="95">
        <f t="shared" si="10"/>
        <v>401.7</v>
      </c>
      <c r="AH38" s="92">
        <v>0</v>
      </c>
      <c r="AI38" s="92">
        <v>0</v>
      </c>
      <c r="AJ38" s="93">
        <v>0</v>
      </c>
      <c r="AK38" s="96">
        <f t="shared" si="11"/>
        <v>0</v>
      </c>
      <c r="AL38" s="96">
        <v>0</v>
      </c>
      <c r="AM38" s="93">
        <f t="shared" si="12"/>
        <v>1576</v>
      </c>
      <c r="AN38" s="93">
        <f t="shared" si="16"/>
        <v>10784</v>
      </c>
      <c r="AO38" s="97"/>
      <c r="AR38" s="99"/>
      <c r="AS38" s="99"/>
      <c r="AT38" s="100"/>
    </row>
    <row r="39" spans="1:46" x14ac:dyDescent="0.3">
      <c r="A39" s="82">
        <f t="shared" si="28"/>
        <v>37</v>
      </c>
      <c r="B39" s="83" t="s">
        <v>89</v>
      </c>
      <c r="C39" s="84">
        <v>45086</v>
      </c>
      <c r="D39" s="85"/>
      <c r="E39" s="86" t="s">
        <v>300</v>
      </c>
      <c r="F39" s="87">
        <v>50100613610990</v>
      </c>
      <c r="G39" s="86" t="s">
        <v>301</v>
      </c>
      <c r="H39" s="86" t="s">
        <v>383</v>
      </c>
      <c r="I39" s="86" t="s">
        <v>384</v>
      </c>
      <c r="J39" s="86">
        <v>5219754257</v>
      </c>
      <c r="K39" s="88">
        <v>37266</v>
      </c>
      <c r="L39" s="89" t="s">
        <v>304</v>
      </c>
      <c r="M39" s="89" t="s">
        <v>305</v>
      </c>
      <c r="N39" s="83" t="s">
        <v>306</v>
      </c>
      <c r="O39" s="90">
        <f>VLOOKUP(B39,'Anchor-Attendance'!$B$4:$BB$84,53,0)</f>
        <v>28</v>
      </c>
      <c r="P39" s="91">
        <v>12360</v>
      </c>
      <c r="Q39" s="92">
        <f t="shared" si="0"/>
        <v>12360</v>
      </c>
      <c r="R39" s="93">
        <f>Q39*100%</f>
        <v>12360</v>
      </c>
      <c r="S39" s="93">
        <f>Q39*0%</f>
        <v>0</v>
      </c>
      <c r="T39" s="93">
        <v>0</v>
      </c>
      <c r="U39" s="93">
        <v>0</v>
      </c>
      <c r="V39" s="94">
        <f t="shared" si="18"/>
        <v>12360</v>
      </c>
      <c r="W39" s="93">
        <v>0</v>
      </c>
      <c r="X39" s="93">
        <v>0</v>
      </c>
      <c r="Y39" s="94">
        <f t="shared" si="15"/>
        <v>12360</v>
      </c>
      <c r="Z39" s="92">
        <f t="shared" si="4"/>
        <v>12360</v>
      </c>
      <c r="AA39" s="92">
        <f t="shared" si="5"/>
        <v>12360</v>
      </c>
      <c r="AB39" s="92">
        <f t="shared" si="6"/>
        <v>1483</v>
      </c>
      <c r="AC39" s="86">
        <v>0</v>
      </c>
      <c r="AD39" s="82">
        <f t="shared" si="7"/>
        <v>93</v>
      </c>
      <c r="AE39" s="93">
        <f t="shared" si="8"/>
        <v>1029</v>
      </c>
      <c r="AF39" s="93">
        <f t="shared" si="9"/>
        <v>454</v>
      </c>
      <c r="AG39" s="95">
        <f t="shared" si="10"/>
        <v>401.7</v>
      </c>
      <c r="AH39" s="92">
        <v>0</v>
      </c>
      <c r="AI39" s="92">
        <v>0</v>
      </c>
      <c r="AJ39" s="93">
        <v>0</v>
      </c>
      <c r="AK39" s="86">
        <f t="shared" si="11"/>
        <v>0</v>
      </c>
      <c r="AL39" s="96">
        <v>0</v>
      </c>
      <c r="AM39" s="93">
        <f t="shared" si="12"/>
        <v>1576</v>
      </c>
      <c r="AN39" s="93">
        <f t="shared" si="16"/>
        <v>10784</v>
      </c>
      <c r="AO39" s="97"/>
      <c r="AR39" s="99"/>
      <c r="AS39" s="99"/>
      <c r="AT39" s="100"/>
    </row>
    <row r="40" spans="1:46" x14ac:dyDescent="0.3">
      <c r="A40" s="82">
        <f t="shared" si="28"/>
        <v>38</v>
      </c>
      <c r="B40" s="83" t="s">
        <v>195</v>
      </c>
      <c r="C40" s="84">
        <v>45086</v>
      </c>
      <c r="D40" s="85"/>
      <c r="E40" s="86" t="s">
        <v>300</v>
      </c>
      <c r="F40" s="87">
        <v>50100662377248</v>
      </c>
      <c r="G40" s="86" t="s">
        <v>363</v>
      </c>
      <c r="H40" s="86" t="s">
        <v>385</v>
      </c>
      <c r="I40" s="86" t="s">
        <v>386</v>
      </c>
      <c r="J40" s="86">
        <v>5219755347</v>
      </c>
      <c r="K40" s="88">
        <v>37084</v>
      </c>
      <c r="L40" s="89" t="s">
        <v>304</v>
      </c>
      <c r="M40" s="89" t="s">
        <v>305</v>
      </c>
      <c r="N40" s="83" t="s">
        <v>306</v>
      </c>
      <c r="O40" s="90">
        <f>VLOOKUP(B40,'Anchor-Attendance'!$B$4:$BB$84,53,0)</f>
        <v>28</v>
      </c>
      <c r="P40" s="91">
        <v>12360</v>
      </c>
      <c r="Q40" s="92">
        <f t="shared" si="0"/>
        <v>12360</v>
      </c>
      <c r="R40" s="93">
        <f t="shared" ref="R40:R42" si="29">Q40*100%</f>
        <v>12360</v>
      </c>
      <c r="S40" s="93">
        <v>0</v>
      </c>
      <c r="T40" s="93">
        <v>0</v>
      </c>
      <c r="U40" s="93">
        <v>0</v>
      </c>
      <c r="V40" s="94">
        <f t="shared" si="18"/>
        <v>12360</v>
      </c>
      <c r="W40" s="93">
        <v>0</v>
      </c>
      <c r="X40" s="93">
        <v>0</v>
      </c>
      <c r="Y40" s="94">
        <f t="shared" si="15"/>
        <v>12360</v>
      </c>
      <c r="Z40" s="92">
        <f t="shared" si="4"/>
        <v>12360</v>
      </c>
      <c r="AA40" s="92">
        <f t="shared" si="5"/>
        <v>12360</v>
      </c>
      <c r="AB40" s="92">
        <f t="shared" si="6"/>
        <v>1483</v>
      </c>
      <c r="AC40" s="86">
        <v>0</v>
      </c>
      <c r="AD40" s="82">
        <f t="shared" si="7"/>
        <v>93</v>
      </c>
      <c r="AE40" s="93">
        <f t="shared" si="8"/>
        <v>1029</v>
      </c>
      <c r="AF40" s="93">
        <f t="shared" si="9"/>
        <v>454</v>
      </c>
      <c r="AG40" s="95">
        <f t="shared" si="10"/>
        <v>401.7</v>
      </c>
      <c r="AH40" s="92">
        <v>0</v>
      </c>
      <c r="AI40" s="92">
        <v>0</v>
      </c>
      <c r="AJ40" s="93">
        <v>0</v>
      </c>
      <c r="AK40" s="86">
        <f t="shared" si="11"/>
        <v>0</v>
      </c>
      <c r="AL40" s="96">
        <v>0</v>
      </c>
      <c r="AM40" s="93">
        <f t="shared" si="12"/>
        <v>1576</v>
      </c>
      <c r="AN40" s="93">
        <f t="shared" si="16"/>
        <v>10784</v>
      </c>
      <c r="AO40" s="97"/>
      <c r="AR40" s="99"/>
      <c r="AS40" s="99"/>
      <c r="AT40" s="100"/>
    </row>
    <row r="41" spans="1:46" x14ac:dyDescent="0.3">
      <c r="A41" s="82">
        <f t="shared" si="28"/>
        <v>39</v>
      </c>
      <c r="B41" s="83" t="s">
        <v>79</v>
      </c>
      <c r="C41" s="84">
        <v>45086</v>
      </c>
      <c r="D41" s="85"/>
      <c r="E41" s="86" t="s">
        <v>300</v>
      </c>
      <c r="F41" s="87">
        <v>50100662377290</v>
      </c>
      <c r="G41" s="86" t="s">
        <v>363</v>
      </c>
      <c r="H41" s="86" t="s">
        <v>387</v>
      </c>
      <c r="I41" s="86" t="s">
        <v>388</v>
      </c>
      <c r="J41" s="86">
        <v>5219755685</v>
      </c>
      <c r="K41" s="88">
        <v>38029</v>
      </c>
      <c r="L41" s="89" t="s">
        <v>304</v>
      </c>
      <c r="M41" s="89" t="s">
        <v>305</v>
      </c>
      <c r="N41" s="83" t="s">
        <v>306</v>
      </c>
      <c r="O41" s="90">
        <f>VLOOKUP(B41,'Anchor-Attendance'!$B$4:$BB$84,53,0)</f>
        <v>26.5</v>
      </c>
      <c r="P41" s="91">
        <v>12360</v>
      </c>
      <c r="Q41" s="92">
        <f t="shared" si="0"/>
        <v>11697.857142857143</v>
      </c>
      <c r="R41" s="93">
        <f t="shared" si="29"/>
        <v>11697.857142857143</v>
      </c>
      <c r="S41" s="93">
        <v>0</v>
      </c>
      <c r="T41" s="93">
        <v>0</v>
      </c>
      <c r="U41" s="93">
        <v>0</v>
      </c>
      <c r="V41" s="94">
        <f t="shared" si="18"/>
        <v>11698</v>
      </c>
      <c r="W41" s="93">
        <v>0</v>
      </c>
      <c r="X41" s="93">
        <v>0</v>
      </c>
      <c r="Y41" s="94">
        <f t="shared" si="15"/>
        <v>11698</v>
      </c>
      <c r="Z41" s="92">
        <f t="shared" si="4"/>
        <v>11698</v>
      </c>
      <c r="AA41" s="92">
        <f t="shared" si="5"/>
        <v>11698</v>
      </c>
      <c r="AB41" s="92">
        <f t="shared" si="6"/>
        <v>1404</v>
      </c>
      <c r="AC41" s="86">
        <v>0</v>
      </c>
      <c r="AD41" s="82">
        <f t="shared" si="7"/>
        <v>88</v>
      </c>
      <c r="AE41" s="93">
        <f t="shared" si="8"/>
        <v>975</v>
      </c>
      <c r="AF41" s="93">
        <f t="shared" si="9"/>
        <v>429</v>
      </c>
      <c r="AG41" s="95">
        <f t="shared" si="10"/>
        <v>380.185</v>
      </c>
      <c r="AH41" s="92">
        <v>0</v>
      </c>
      <c r="AI41" s="92">
        <v>0</v>
      </c>
      <c r="AJ41" s="93">
        <v>0</v>
      </c>
      <c r="AK41" s="86">
        <f t="shared" si="11"/>
        <v>0</v>
      </c>
      <c r="AL41" s="96">
        <v>0</v>
      </c>
      <c r="AM41" s="93">
        <f t="shared" si="12"/>
        <v>1492</v>
      </c>
      <c r="AN41" s="93">
        <f t="shared" si="16"/>
        <v>10206</v>
      </c>
      <c r="AO41" s="97"/>
      <c r="AR41" s="99"/>
      <c r="AS41" s="99"/>
      <c r="AT41" s="100"/>
    </row>
    <row r="42" spans="1:46" x14ac:dyDescent="0.3">
      <c r="A42" s="82">
        <f t="shared" si="28"/>
        <v>40</v>
      </c>
      <c r="B42" s="83" t="s">
        <v>138</v>
      </c>
      <c r="C42" s="84">
        <v>45101</v>
      </c>
      <c r="D42" s="85"/>
      <c r="E42" s="86" t="s">
        <v>300</v>
      </c>
      <c r="F42" s="87">
        <v>50100662377159</v>
      </c>
      <c r="G42" s="86" t="s">
        <v>363</v>
      </c>
      <c r="H42" s="86" t="s">
        <v>389</v>
      </c>
      <c r="I42" s="86" t="s">
        <v>390</v>
      </c>
      <c r="J42" s="86">
        <v>5219795688</v>
      </c>
      <c r="K42" s="88">
        <v>38127</v>
      </c>
      <c r="L42" s="89" t="s">
        <v>304</v>
      </c>
      <c r="M42" s="89" t="s">
        <v>305</v>
      </c>
      <c r="N42" s="83" t="s">
        <v>306</v>
      </c>
      <c r="O42" s="90">
        <f>VLOOKUP(B42,'Anchor-Attendance'!$B$4:$BB$84,53,0)</f>
        <v>28</v>
      </c>
      <c r="P42" s="91">
        <v>12360</v>
      </c>
      <c r="Q42" s="92">
        <f t="shared" si="0"/>
        <v>12360</v>
      </c>
      <c r="R42" s="93">
        <f t="shared" si="29"/>
        <v>12360</v>
      </c>
      <c r="S42" s="93">
        <v>0</v>
      </c>
      <c r="T42" s="93">
        <v>0</v>
      </c>
      <c r="U42" s="93">
        <v>0</v>
      </c>
      <c r="V42" s="94">
        <f t="shared" si="18"/>
        <v>12360</v>
      </c>
      <c r="W42" s="93">
        <v>0</v>
      </c>
      <c r="X42" s="93">
        <v>0</v>
      </c>
      <c r="Y42" s="94">
        <f t="shared" si="15"/>
        <v>12360</v>
      </c>
      <c r="Z42" s="92">
        <f t="shared" si="4"/>
        <v>12360</v>
      </c>
      <c r="AA42" s="92">
        <f t="shared" si="5"/>
        <v>12360</v>
      </c>
      <c r="AB42" s="92">
        <f t="shared" si="6"/>
        <v>1483</v>
      </c>
      <c r="AC42" s="86">
        <v>0</v>
      </c>
      <c r="AD42" s="82">
        <f t="shared" si="7"/>
        <v>93</v>
      </c>
      <c r="AE42" s="93">
        <f t="shared" si="8"/>
        <v>1029</v>
      </c>
      <c r="AF42" s="93">
        <f t="shared" si="9"/>
        <v>454</v>
      </c>
      <c r="AG42" s="95">
        <f t="shared" si="10"/>
        <v>401.7</v>
      </c>
      <c r="AH42" s="92">
        <v>0</v>
      </c>
      <c r="AI42" s="92">
        <v>0</v>
      </c>
      <c r="AJ42" s="93">
        <v>0</v>
      </c>
      <c r="AK42" s="86">
        <f t="shared" si="11"/>
        <v>0</v>
      </c>
      <c r="AL42" s="96">
        <v>0</v>
      </c>
      <c r="AM42" s="93">
        <f t="shared" si="12"/>
        <v>1576</v>
      </c>
      <c r="AN42" s="93">
        <f t="shared" si="16"/>
        <v>10784</v>
      </c>
      <c r="AO42" s="97"/>
      <c r="AR42" s="99"/>
      <c r="AS42" s="99"/>
      <c r="AT42" s="100"/>
    </row>
    <row r="43" spans="1:46" x14ac:dyDescent="0.3">
      <c r="A43" s="82">
        <f t="shared" si="28"/>
        <v>41</v>
      </c>
      <c r="B43" s="83" t="s">
        <v>110</v>
      </c>
      <c r="C43" s="84">
        <v>44909</v>
      </c>
      <c r="D43" s="85"/>
      <c r="E43" s="86" t="s">
        <v>300</v>
      </c>
      <c r="F43" s="87">
        <v>50100588150680</v>
      </c>
      <c r="G43" s="86" t="s">
        <v>301</v>
      </c>
      <c r="H43" s="86" t="s">
        <v>391</v>
      </c>
      <c r="I43" s="86" t="s">
        <v>392</v>
      </c>
      <c r="J43" s="86">
        <v>5219235823</v>
      </c>
      <c r="K43" s="88">
        <v>37839</v>
      </c>
      <c r="L43" s="89" t="s">
        <v>304</v>
      </c>
      <c r="M43" s="89" t="s">
        <v>305</v>
      </c>
      <c r="N43" s="83" t="s">
        <v>306</v>
      </c>
      <c r="O43" s="90">
        <f>VLOOKUP(B43,'Anchor-Attendance'!$B$4:$BB$84,53,0)</f>
        <v>28</v>
      </c>
      <c r="P43" s="91">
        <v>12360</v>
      </c>
      <c r="Q43" s="92">
        <f t="shared" si="0"/>
        <v>12360</v>
      </c>
      <c r="R43" s="93">
        <f>Q43*100%</f>
        <v>12360</v>
      </c>
      <c r="S43" s="93">
        <v>0</v>
      </c>
      <c r="T43" s="93">
        <v>0</v>
      </c>
      <c r="U43" s="93">
        <v>0</v>
      </c>
      <c r="V43" s="94">
        <f t="shared" si="18"/>
        <v>12360</v>
      </c>
      <c r="W43" s="93">
        <v>0</v>
      </c>
      <c r="X43" s="93">
        <v>0</v>
      </c>
      <c r="Y43" s="94">
        <f t="shared" si="15"/>
        <v>12360</v>
      </c>
      <c r="Z43" s="92">
        <f t="shared" si="4"/>
        <v>12360</v>
      </c>
      <c r="AA43" s="92">
        <f t="shared" si="5"/>
        <v>12360</v>
      </c>
      <c r="AB43" s="92">
        <f t="shared" si="6"/>
        <v>1483</v>
      </c>
      <c r="AC43" s="86">
        <v>0</v>
      </c>
      <c r="AD43" s="82">
        <f t="shared" si="7"/>
        <v>93</v>
      </c>
      <c r="AE43" s="93">
        <f t="shared" si="8"/>
        <v>1029</v>
      </c>
      <c r="AF43" s="93">
        <f t="shared" si="9"/>
        <v>454</v>
      </c>
      <c r="AG43" s="95">
        <f t="shared" si="10"/>
        <v>401.7</v>
      </c>
      <c r="AH43" s="92">
        <v>0</v>
      </c>
      <c r="AI43" s="92">
        <v>0</v>
      </c>
      <c r="AJ43" s="93">
        <v>0</v>
      </c>
      <c r="AK43" s="86">
        <f t="shared" si="11"/>
        <v>0</v>
      </c>
      <c r="AL43" s="96">
        <v>0</v>
      </c>
      <c r="AM43" s="93">
        <f t="shared" si="12"/>
        <v>1576</v>
      </c>
      <c r="AN43" s="93">
        <f t="shared" si="16"/>
        <v>10784</v>
      </c>
      <c r="AO43" s="97"/>
      <c r="AR43" s="99"/>
      <c r="AS43" s="99"/>
      <c r="AT43" s="100"/>
    </row>
    <row r="44" spans="1:46" s="98" customFormat="1" x14ac:dyDescent="0.3">
      <c r="A44" s="118">
        <f t="shared" si="28"/>
        <v>42</v>
      </c>
      <c r="B44" s="116" t="s">
        <v>230</v>
      </c>
      <c r="C44" s="122">
        <v>45033</v>
      </c>
      <c r="D44" s="123"/>
      <c r="E44" s="124" t="s">
        <v>300</v>
      </c>
      <c r="F44" s="87">
        <v>50100588150220</v>
      </c>
      <c r="G44" s="86" t="s">
        <v>301</v>
      </c>
      <c r="H44" s="86" t="s">
        <v>393</v>
      </c>
      <c r="I44" s="86" t="s">
        <v>394</v>
      </c>
      <c r="J44" s="86">
        <v>5219252277</v>
      </c>
      <c r="K44" s="88">
        <v>37085</v>
      </c>
      <c r="L44" s="89" t="s">
        <v>304</v>
      </c>
      <c r="M44" s="125" t="s">
        <v>305</v>
      </c>
      <c r="N44" s="116">
        <f>VLOOKUP(B44,'Anchor-Attendance'!$B$4:$K$84,10,0)</f>
        <v>46072</v>
      </c>
      <c r="O44" s="126">
        <f>VLOOKUP(B44,'Anchor-Attendance'!$B$4:$BB$84,53,0)</f>
        <v>19</v>
      </c>
      <c r="P44" s="127">
        <v>12360</v>
      </c>
      <c r="Q44" s="120">
        <f t="shared" si="0"/>
        <v>8387.1428571428569</v>
      </c>
      <c r="R44" s="128">
        <f>Q44*100%</f>
        <v>8387.1428571428569</v>
      </c>
      <c r="S44" s="128">
        <v>0</v>
      </c>
      <c r="T44" s="128">
        <v>0</v>
      </c>
      <c r="U44" s="128">
        <v>0</v>
      </c>
      <c r="V44" s="121">
        <f t="shared" si="18"/>
        <v>8387</v>
      </c>
      <c r="W44" s="128">
        <f>12360-V44</f>
        <v>3973</v>
      </c>
      <c r="X44" s="128">
        <f>AR44</f>
        <v>0</v>
      </c>
      <c r="Y44" s="121">
        <f t="shared" si="15"/>
        <v>12360</v>
      </c>
      <c r="Z44" s="120">
        <f t="shared" si="4"/>
        <v>8387</v>
      </c>
      <c r="AA44" s="120">
        <f t="shared" si="5"/>
        <v>8387</v>
      </c>
      <c r="AB44" s="120">
        <f t="shared" si="6"/>
        <v>1006</v>
      </c>
      <c r="AC44" s="124">
        <v>0</v>
      </c>
      <c r="AD44" s="118">
        <f t="shared" si="7"/>
        <v>93</v>
      </c>
      <c r="AE44" s="128">
        <f t="shared" si="8"/>
        <v>698</v>
      </c>
      <c r="AF44" s="128">
        <f t="shared" si="9"/>
        <v>308</v>
      </c>
      <c r="AG44" s="129">
        <f t="shared" si="10"/>
        <v>401.7</v>
      </c>
      <c r="AH44" s="120">
        <v>0</v>
      </c>
      <c r="AI44" s="120">
        <v>0</v>
      </c>
      <c r="AJ44" s="128">
        <v>0</v>
      </c>
      <c r="AK44" s="124">
        <f t="shared" si="11"/>
        <v>0</v>
      </c>
      <c r="AL44" s="118">
        <v>0</v>
      </c>
      <c r="AM44" s="128">
        <f t="shared" si="12"/>
        <v>1099</v>
      </c>
      <c r="AN44" s="128">
        <f t="shared" si="16"/>
        <v>11261</v>
      </c>
      <c r="AO44" s="130" t="s">
        <v>480</v>
      </c>
      <c r="AP44" s="101">
        <f>ROUND((N44-C44)/365,0)</f>
        <v>3</v>
      </c>
      <c r="AQ44" s="103"/>
      <c r="AR44" s="103"/>
      <c r="AS44" s="131"/>
      <c r="AT44" s="132"/>
    </row>
    <row r="45" spans="1:46" x14ac:dyDescent="0.3">
      <c r="A45" s="82">
        <f t="shared" si="28"/>
        <v>43</v>
      </c>
      <c r="B45" s="83" t="s">
        <v>173</v>
      </c>
      <c r="C45" s="84">
        <v>44426</v>
      </c>
      <c r="D45" s="85"/>
      <c r="E45" s="86" t="s">
        <v>300</v>
      </c>
      <c r="F45" s="87">
        <v>50100452151061</v>
      </c>
      <c r="G45" s="86" t="s">
        <v>342</v>
      </c>
      <c r="H45" s="86" t="s">
        <v>395</v>
      </c>
      <c r="I45" s="86" t="s">
        <v>396</v>
      </c>
      <c r="J45" s="86">
        <v>5217668503</v>
      </c>
      <c r="K45" s="88">
        <v>36613</v>
      </c>
      <c r="L45" s="89" t="s">
        <v>304</v>
      </c>
      <c r="M45" s="89" t="s">
        <v>305</v>
      </c>
      <c r="N45" s="83" t="s">
        <v>306</v>
      </c>
      <c r="O45" s="90">
        <f>VLOOKUP(B45,'Anchor-Attendance'!$B$4:$BB$84,53,0)</f>
        <v>28</v>
      </c>
      <c r="P45" s="91">
        <v>12360</v>
      </c>
      <c r="Q45" s="92">
        <f t="shared" si="0"/>
        <v>12360</v>
      </c>
      <c r="R45" s="93">
        <f t="shared" ref="R45:R47" si="30">Q45*100%</f>
        <v>12360</v>
      </c>
      <c r="S45" s="93">
        <v>0</v>
      </c>
      <c r="T45" s="93">
        <v>0</v>
      </c>
      <c r="U45" s="93">
        <v>0</v>
      </c>
      <c r="V45" s="94">
        <f t="shared" si="18"/>
        <v>12360</v>
      </c>
      <c r="W45" s="93">
        <v>0</v>
      </c>
      <c r="X45" s="93">
        <v>0</v>
      </c>
      <c r="Y45" s="94">
        <f t="shared" si="15"/>
        <v>12360</v>
      </c>
      <c r="Z45" s="92">
        <f t="shared" si="4"/>
        <v>12360</v>
      </c>
      <c r="AA45" s="92">
        <f t="shared" si="5"/>
        <v>12360</v>
      </c>
      <c r="AB45" s="92">
        <f t="shared" si="6"/>
        <v>1483</v>
      </c>
      <c r="AC45" s="86">
        <v>0</v>
      </c>
      <c r="AD45" s="82">
        <f t="shared" si="7"/>
        <v>93</v>
      </c>
      <c r="AE45" s="93">
        <f t="shared" si="8"/>
        <v>1029</v>
      </c>
      <c r="AF45" s="93">
        <f t="shared" si="9"/>
        <v>454</v>
      </c>
      <c r="AG45" s="95">
        <f t="shared" si="10"/>
        <v>401.7</v>
      </c>
      <c r="AH45" s="92">
        <v>0</v>
      </c>
      <c r="AI45" s="92">
        <v>0</v>
      </c>
      <c r="AJ45" s="93">
        <v>0</v>
      </c>
      <c r="AK45" s="86">
        <f t="shared" si="11"/>
        <v>0</v>
      </c>
      <c r="AL45" s="96">
        <v>0</v>
      </c>
      <c r="AM45" s="93">
        <f t="shared" si="12"/>
        <v>1576</v>
      </c>
      <c r="AN45" s="93">
        <f t="shared" si="16"/>
        <v>10784</v>
      </c>
      <c r="AO45" s="97"/>
      <c r="AR45" s="99"/>
      <c r="AS45" s="99"/>
      <c r="AT45" s="100"/>
    </row>
    <row r="46" spans="1:46" x14ac:dyDescent="0.3">
      <c r="A46" s="82">
        <f t="shared" si="28"/>
        <v>44</v>
      </c>
      <c r="B46" s="83" t="s">
        <v>166</v>
      </c>
      <c r="C46" s="84">
        <v>44426</v>
      </c>
      <c r="D46" s="85"/>
      <c r="E46" s="86" t="s">
        <v>300</v>
      </c>
      <c r="F46" s="87">
        <v>50100453956932</v>
      </c>
      <c r="G46" s="86" t="s">
        <v>301</v>
      </c>
      <c r="H46" s="86" t="s">
        <v>397</v>
      </c>
      <c r="I46" s="86" t="s">
        <v>398</v>
      </c>
      <c r="J46" s="86">
        <v>5217671356</v>
      </c>
      <c r="K46" s="88">
        <v>35236</v>
      </c>
      <c r="L46" s="89" t="s">
        <v>304</v>
      </c>
      <c r="M46" s="89" t="s">
        <v>305</v>
      </c>
      <c r="N46" s="83" t="s">
        <v>306</v>
      </c>
      <c r="O46" s="90">
        <f>VLOOKUP(B46,'Anchor-Attendance'!$B$4:$BB$84,53,0)</f>
        <v>28</v>
      </c>
      <c r="P46" s="91">
        <v>12360</v>
      </c>
      <c r="Q46" s="92">
        <f t="shared" si="0"/>
        <v>12360</v>
      </c>
      <c r="R46" s="93">
        <f t="shared" si="30"/>
        <v>12360</v>
      </c>
      <c r="S46" s="93">
        <v>0</v>
      </c>
      <c r="T46" s="93">
        <v>0</v>
      </c>
      <c r="U46" s="93">
        <v>0</v>
      </c>
      <c r="V46" s="94">
        <f t="shared" si="18"/>
        <v>12360</v>
      </c>
      <c r="W46" s="93">
        <v>0</v>
      </c>
      <c r="X46" s="93">
        <v>0</v>
      </c>
      <c r="Y46" s="94">
        <f t="shared" si="15"/>
        <v>12360</v>
      </c>
      <c r="Z46" s="92">
        <f t="shared" si="4"/>
        <v>12360</v>
      </c>
      <c r="AA46" s="92">
        <f t="shared" si="5"/>
        <v>12360</v>
      </c>
      <c r="AB46" s="92">
        <f t="shared" si="6"/>
        <v>1483</v>
      </c>
      <c r="AC46" s="86">
        <v>0</v>
      </c>
      <c r="AD46" s="82">
        <f t="shared" si="7"/>
        <v>93</v>
      </c>
      <c r="AE46" s="93">
        <f t="shared" si="8"/>
        <v>1029</v>
      </c>
      <c r="AF46" s="93">
        <f t="shared" si="9"/>
        <v>454</v>
      </c>
      <c r="AG46" s="95">
        <f t="shared" si="10"/>
        <v>401.7</v>
      </c>
      <c r="AH46" s="92">
        <v>0</v>
      </c>
      <c r="AI46" s="92">
        <v>0</v>
      </c>
      <c r="AJ46" s="93">
        <v>0</v>
      </c>
      <c r="AK46" s="86">
        <f t="shared" si="11"/>
        <v>0</v>
      </c>
      <c r="AL46" s="96">
        <v>0</v>
      </c>
      <c r="AM46" s="93">
        <f t="shared" si="12"/>
        <v>1576</v>
      </c>
      <c r="AN46" s="93">
        <f t="shared" si="16"/>
        <v>10784</v>
      </c>
      <c r="AO46" s="97"/>
      <c r="AR46" s="99"/>
      <c r="AS46" s="99"/>
      <c r="AT46" s="100"/>
    </row>
    <row r="47" spans="1:46" x14ac:dyDescent="0.3">
      <c r="A47" s="82">
        <f t="shared" si="28"/>
        <v>45</v>
      </c>
      <c r="B47" s="83" t="s">
        <v>164</v>
      </c>
      <c r="C47" s="84">
        <v>44426</v>
      </c>
      <c r="D47" s="85"/>
      <c r="E47" s="86" t="s">
        <v>300</v>
      </c>
      <c r="F47" s="87">
        <v>50100452147956</v>
      </c>
      <c r="G47" s="86" t="s">
        <v>342</v>
      </c>
      <c r="H47" s="86" t="s">
        <v>399</v>
      </c>
      <c r="I47" s="86" t="s">
        <v>400</v>
      </c>
      <c r="J47" s="86">
        <v>5217668476</v>
      </c>
      <c r="K47" s="88">
        <v>37507</v>
      </c>
      <c r="L47" s="89" t="s">
        <v>304</v>
      </c>
      <c r="M47" s="89" t="s">
        <v>305</v>
      </c>
      <c r="N47" s="83" t="s">
        <v>306</v>
      </c>
      <c r="O47" s="90">
        <f>VLOOKUP(B47,'Anchor-Attendance'!$B$4:$BB$84,53,0)</f>
        <v>28</v>
      </c>
      <c r="P47" s="91">
        <v>12360</v>
      </c>
      <c r="Q47" s="92">
        <f t="shared" si="0"/>
        <v>12360</v>
      </c>
      <c r="R47" s="93">
        <f t="shared" si="30"/>
        <v>12360</v>
      </c>
      <c r="S47" s="93">
        <v>0</v>
      </c>
      <c r="T47" s="93">
        <v>0</v>
      </c>
      <c r="U47" s="93">
        <v>0</v>
      </c>
      <c r="V47" s="94">
        <f t="shared" si="18"/>
        <v>12360</v>
      </c>
      <c r="W47" s="93">
        <v>0</v>
      </c>
      <c r="X47" s="93">
        <v>0</v>
      </c>
      <c r="Y47" s="94">
        <f t="shared" si="15"/>
        <v>12360</v>
      </c>
      <c r="Z47" s="92">
        <f t="shared" si="4"/>
        <v>12360</v>
      </c>
      <c r="AA47" s="92">
        <f t="shared" si="5"/>
        <v>12360</v>
      </c>
      <c r="AB47" s="92">
        <f t="shared" si="6"/>
        <v>1483</v>
      </c>
      <c r="AC47" s="86">
        <v>0</v>
      </c>
      <c r="AD47" s="82">
        <f t="shared" si="7"/>
        <v>93</v>
      </c>
      <c r="AE47" s="93">
        <f t="shared" si="8"/>
        <v>1029</v>
      </c>
      <c r="AF47" s="93">
        <f t="shared" si="9"/>
        <v>454</v>
      </c>
      <c r="AG47" s="95">
        <f t="shared" si="10"/>
        <v>401.7</v>
      </c>
      <c r="AH47" s="92">
        <v>0</v>
      </c>
      <c r="AI47" s="92">
        <v>0</v>
      </c>
      <c r="AJ47" s="93">
        <v>0</v>
      </c>
      <c r="AK47" s="86">
        <f t="shared" si="11"/>
        <v>0</v>
      </c>
      <c r="AL47" s="96">
        <v>0</v>
      </c>
      <c r="AM47" s="93">
        <f t="shared" si="12"/>
        <v>1576</v>
      </c>
      <c r="AN47" s="93">
        <f t="shared" si="16"/>
        <v>10784</v>
      </c>
      <c r="AO47" s="97"/>
      <c r="AR47" s="99"/>
      <c r="AS47" s="99"/>
      <c r="AT47" s="100"/>
    </row>
    <row r="48" spans="1:46" x14ac:dyDescent="0.3">
      <c r="A48" s="82">
        <f t="shared" si="28"/>
        <v>46</v>
      </c>
      <c r="B48" s="83" t="s">
        <v>93</v>
      </c>
      <c r="C48" s="84">
        <v>44522</v>
      </c>
      <c r="D48" s="85"/>
      <c r="E48" s="86" t="s">
        <v>300</v>
      </c>
      <c r="F48" s="87">
        <v>50100453958603</v>
      </c>
      <c r="G48" s="86" t="s">
        <v>301</v>
      </c>
      <c r="H48" s="86" t="s">
        <v>401</v>
      </c>
      <c r="I48" s="86" t="s">
        <v>402</v>
      </c>
      <c r="J48" s="86">
        <v>5217962015</v>
      </c>
      <c r="K48" s="88">
        <v>37122</v>
      </c>
      <c r="L48" s="89" t="s">
        <v>304</v>
      </c>
      <c r="M48" s="89" t="s">
        <v>305</v>
      </c>
      <c r="N48" s="83" t="s">
        <v>306</v>
      </c>
      <c r="O48" s="90">
        <f>VLOOKUP(B48,'Anchor-Attendance'!$B$4:$BB$84,53,0)</f>
        <v>28</v>
      </c>
      <c r="P48" s="91">
        <v>12360</v>
      </c>
      <c r="Q48" s="92">
        <f t="shared" si="0"/>
        <v>12360</v>
      </c>
      <c r="R48" s="93">
        <f>Q48*100%</f>
        <v>12360</v>
      </c>
      <c r="S48" s="93">
        <v>0</v>
      </c>
      <c r="T48" s="93">
        <v>0</v>
      </c>
      <c r="U48" s="93">
        <v>0</v>
      </c>
      <c r="V48" s="94">
        <f t="shared" si="18"/>
        <v>12360</v>
      </c>
      <c r="W48" s="93">
        <v>0</v>
      </c>
      <c r="X48" s="93">
        <v>0</v>
      </c>
      <c r="Y48" s="94">
        <f t="shared" si="15"/>
        <v>12360</v>
      </c>
      <c r="Z48" s="92">
        <f t="shared" si="4"/>
        <v>12360</v>
      </c>
      <c r="AA48" s="92">
        <f t="shared" si="5"/>
        <v>12360</v>
      </c>
      <c r="AB48" s="92">
        <f t="shared" si="6"/>
        <v>1483</v>
      </c>
      <c r="AC48" s="86">
        <v>0</v>
      </c>
      <c r="AD48" s="82">
        <f t="shared" si="7"/>
        <v>93</v>
      </c>
      <c r="AE48" s="93">
        <f t="shared" si="8"/>
        <v>1029</v>
      </c>
      <c r="AF48" s="93">
        <f t="shared" si="9"/>
        <v>454</v>
      </c>
      <c r="AG48" s="95">
        <f t="shared" si="10"/>
        <v>401.7</v>
      </c>
      <c r="AH48" s="92">
        <v>0</v>
      </c>
      <c r="AI48" s="92">
        <v>0</v>
      </c>
      <c r="AJ48" s="93">
        <v>0</v>
      </c>
      <c r="AK48" s="86">
        <f t="shared" si="11"/>
        <v>0</v>
      </c>
      <c r="AL48" s="96">
        <v>0</v>
      </c>
      <c r="AM48" s="93">
        <f t="shared" si="12"/>
        <v>1576</v>
      </c>
      <c r="AN48" s="93">
        <f t="shared" si="16"/>
        <v>10784</v>
      </c>
      <c r="AO48" s="97"/>
      <c r="AR48" s="99"/>
      <c r="AS48" s="99"/>
      <c r="AT48" s="100"/>
    </row>
    <row r="49" spans="1:46" x14ac:dyDescent="0.3">
      <c r="A49" s="82">
        <f t="shared" si="28"/>
        <v>47</v>
      </c>
      <c r="B49" s="83" t="s">
        <v>160</v>
      </c>
      <c r="C49" s="84">
        <v>44845</v>
      </c>
      <c r="D49" s="85"/>
      <c r="E49" s="86" t="s">
        <v>300</v>
      </c>
      <c r="F49" s="87">
        <v>50100527663841</v>
      </c>
      <c r="G49" s="86" t="s">
        <v>363</v>
      </c>
      <c r="H49" s="86" t="s">
        <v>403</v>
      </c>
      <c r="I49" s="86" t="s">
        <v>404</v>
      </c>
      <c r="J49" s="86">
        <v>5218489712</v>
      </c>
      <c r="K49" s="88">
        <v>36365</v>
      </c>
      <c r="L49" s="89" t="s">
        <v>304</v>
      </c>
      <c r="M49" s="89" t="s">
        <v>305</v>
      </c>
      <c r="N49" s="83" t="s">
        <v>306</v>
      </c>
      <c r="O49" s="90">
        <f>VLOOKUP(B49,'Anchor-Attendance'!$B$4:$BB$84,53,0)</f>
        <v>25.5</v>
      </c>
      <c r="P49" s="91">
        <v>12360</v>
      </c>
      <c r="Q49" s="92">
        <f t="shared" si="0"/>
        <v>11256.428571428572</v>
      </c>
      <c r="R49" s="93">
        <f t="shared" ref="R49:R53" si="31">Q49*100%</f>
        <v>11256.428571428572</v>
      </c>
      <c r="S49" s="93">
        <v>0</v>
      </c>
      <c r="T49" s="93">
        <v>0</v>
      </c>
      <c r="U49" s="93">
        <v>0</v>
      </c>
      <c r="V49" s="94">
        <f t="shared" si="18"/>
        <v>11256</v>
      </c>
      <c r="W49" s="93">
        <v>0</v>
      </c>
      <c r="X49" s="93">
        <v>0</v>
      </c>
      <c r="Y49" s="94">
        <f t="shared" si="15"/>
        <v>11256</v>
      </c>
      <c r="Z49" s="92">
        <f t="shared" si="4"/>
        <v>11256</v>
      </c>
      <c r="AA49" s="92">
        <f t="shared" si="5"/>
        <v>11256</v>
      </c>
      <c r="AB49" s="92">
        <f t="shared" si="6"/>
        <v>1351</v>
      </c>
      <c r="AC49" s="86">
        <v>0</v>
      </c>
      <c r="AD49" s="82">
        <f t="shared" si="7"/>
        <v>85</v>
      </c>
      <c r="AE49" s="93">
        <f t="shared" si="8"/>
        <v>938</v>
      </c>
      <c r="AF49" s="93">
        <f t="shared" si="9"/>
        <v>413</v>
      </c>
      <c r="AG49" s="95">
        <f t="shared" si="10"/>
        <v>365.82</v>
      </c>
      <c r="AH49" s="92">
        <v>0</v>
      </c>
      <c r="AI49" s="92">
        <v>0</v>
      </c>
      <c r="AJ49" s="93">
        <v>0</v>
      </c>
      <c r="AK49" s="86">
        <f t="shared" si="11"/>
        <v>0</v>
      </c>
      <c r="AL49" s="96">
        <v>0</v>
      </c>
      <c r="AM49" s="93">
        <f t="shared" si="12"/>
        <v>1436</v>
      </c>
      <c r="AN49" s="93">
        <f t="shared" si="16"/>
        <v>9820</v>
      </c>
      <c r="AO49" s="97"/>
      <c r="AR49" s="99"/>
      <c r="AS49" s="99"/>
      <c r="AT49" s="100"/>
    </row>
    <row r="50" spans="1:46" x14ac:dyDescent="0.3">
      <c r="A50" s="82">
        <f t="shared" si="28"/>
        <v>48</v>
      </c>
      <c r="B50" s="83" t="s">
        <v>101</v>
      </c>
      <c r="C50" s="84">
        <v>44845</v>
      </c>
      <c r="D50" s="85"/>
      <c r="E50" s="86" t="s">
        <v>300</v>
      </c>
      <c r="F50" s="87">
        <v>50100515745033</v>
      </c>
      <c r="G50" s="86" t="s">
        <v>363</v>
      </c>
      <c r="H50" s="86" t="s">
        <v>405</v>
      </c>
      <c r="I50" s="86" t="s">
        <v>406</v>
      </c>
      <c r="J50" s="86">
        <v>5218490241</v>
      </c>
      <c r="K50" s="88">
        <v>36920</v>
      </c>
      <c r="L50" s="89" t="s">
        <v>304</v>
      </c>
      <c r="M50" s="89" t="s">
        <v>305</v>
      </c>
      <c r="N50" s="83" t="s">
        <v>306</v>
      </c>
      <c r="O50" s="90">
        <f>VLOOKUP(B50,'Anchor-Attendance'!$B$4:$BB$84,53,0)</f>
        <v>28</v>
      </c>
      <c r="P50" s="91">
        <v>12360</v>
      </c>
      <c r="Q50" s="92">
        <f t="shared" si="0"/>
        <v>12360</v>
      </c>
      <c r="R50" s="93">
        <f t="shared" si="31"/>
        <v>12360</v>
      </c>
      <c r="S50" s="93">
        <v>0</v>
      </c>
      <c r="T50" s="93">
        <v>0</v>
      </c>
      <c r="U50" s="93">
        <v>0</v>
      </c>
      <c r="V50" s="94">
        <f t="shared" si="18"/>
        <v>12360</v>
      </c>
      <c r="W50" s="93">
        <v>0</v>
      </c>
      <c r="X50" s="93">
        <v>0</v>
      </c>
      <c r="Y50" s="94">
        <f t="shared" si="15"/>
        <v>12360</v>
      </c>
      <c r="Z50" s="92">
        <f t="shared" si="4"/>
        <v>12360</v>
      </c>
      <c r="AA50" s="92">
        <f t="shared" si="5"/>
        <v>12360</v>
      </c>
      <c r="AB50" s="92">
        <f t="shared" si="6"/>
        <v>1483</v>
      </c>
      <c r="AC50" s="86">
        <v>0</v>
      </c>
      <c r="AD50" s="82">
        <f t="shared" si="7"/>
        <v>93</v>
      </c>
      <c r="AE50" s="93">
        <f t="shared" si="8"/>
        <v>1029</v>
      </c>
      <c r="AF50" s="93">
        <f t="shared" si="9"/>
        <v>454</v>
      </c>
      <c r="AG50" s="95">
        <f t="shared" si="10"/>
        <v>401.7</v>
      </c>
      <c r="AH50" s="92">
        <v>0</v>
      </c>
      <c r="AI50" s="92">
        <v>0</v>
      </c>
      <c r="AJ50" s="93">
        <v>0</v>
      </c>
      <c r="AK50" s="86">
        <f t="shared" si="11"/>
        <v>0</v>
      </c>
      <c r="AL50" s="96">
        <v>0</v>
      </c>
      <c r="AM50" s="93">
        <f t="shared" si="12"/>
        <v>1576</v>
      </c>
      <c r="AN50" s="93">
        <f t="shared" si="16"/>
        <v>10784</v>
      </c>
      <c r="AO50" s="97"/>
      <c r="AR50" s="99"/>
      <c r="AS50" s="99"/>
      <c r="AT50" s="100"/>
    </row>
    <row r="51" spans="1:46" x14ac:dyDescent="0.3">
      <c r="A51" s="82">
        <f t="shared" si="28"/>
        <v>49</v>
      </c>
      <c r="B51" s="83" t="s">
        <v>158</v>
      </c>
      <c r="C51" s="84">
        <v>44845</v>
      </c>
      <c r="D51" s="85"/>
      <c r="E51" s="86" t="s">
        <v>300</v>
      </c>
      <c r="F51" s="87">
        <v>50100488397690</v>
      </c>
      <c r="G51" s="86" t="s">
        <v>407</v>
      </c>
      <c r="H51" s="86" t="s">
        <v>408</v>
      </c>
      <c r="I51" s="86" t="s">
        <v>409</v>
      </c>
      <c r="J51" s="86">
        <v>5218492747</v>
      </c>
      <c r="K51" s="88">
        <v>36680</v>
      </c>
      <c r="L51" s="89" t="s">
        <v>304</v>
      </c>
      <c r="M51" s="89" t="s">
        <v>305</v>
      </c>
      <c r="N51" s="83" t="s">
        <v>306</v>
      </c>
      <c r="O51" s="90">
        <f>VLOOKUP(B51,'Anchor-Attendance'!$B$4:$BB$84,53,0)</f>
        <v>28</v>
      </c>
      <c r="P51" s="91">
        <v>12360</v>
      </c>
      <c r="Q51" s="92">
        <f t="shared" si="0"/>
        <v>12360</v>
      </c>
      <c r="R51" s="93">
        <f t="shared" si="31"/>
        <v>12360</v>
      </c>
      <c r="S51" s="93">
        <v>0</v>
      </c>
      <c r="T51" s="93">
        <v>0</v>
      </c>
      <c r="U51" s="93">
        <v>0</v>
      </c>
      <c r="V51" s="94">
        <f t="shared" si="18"/>
        <v>12360</v>
      </c>
      <c r="W51" s="93">
        <v>0</v>
      </c>
      <c r="X51" s="93">
        <v>0</v>
      </c>
      <c r="Y51" s="94">
        <f t="shared" si="15"/>
        <v>12360</v>
      </c>
      <c r="Z51" s="92">
        <f t="shared" si="4"/>
        <v>12360</v>
      </c>
      <c r="AA51" s="92">
        <f t="shared" si="5"/>
        <v>12360</v>
      </c>
      <c r="AB51" s="92">
        <f t="shared" si="6"/>
        <v>1483</v>
      </c>
      <c r="AC51" s="86">
        <v>0</v>
      </c>
      <c r="AD51" s="82">
        <f t="shared" si="7"/>
        <v>93</v>
      </c>
      <c r="AE51" s="93">
        <f t="shared" si="8"/>
        <v>1029</v>
      </c>
      <c r="AF51" s="93">
        <f t="shared" si="9"/>
        <v>454</v>
      </c>
      <c r="AG51" s="95">
        <f t="shared" si="10"/>
        <v>401.7</v>
      </c>
      <c r="AH51" s="92">
        <v>0</v>
      </c>
      <c r="AI51" s="92">
        <v>0</v>
      </c>
      <c r="AJ51" s="93">
        <v>0</v>
      </c>
      <c r="AK51" s="86">
        <f t="shared" si="11"/>
        <v>0</v>
      </c>
      <c r="AL51" s="96">
        <v>0</v>
      </c>
      <c r="AM51" s="93">
        <f t="shared" si="12"/>
        <v>1576</v>
      </c>
      <c r="AN51" s="93">
        <f t="shared" si="16"/>
        <v>10784</v>
      </c>
      <c r="AO51" s="97"/>
      <c r="AR51" s="99"/>
      <c r="AS51" s="99"/>
      <c r="AT51" s="100"/>
    </row>
    <row r="52" spans="1:46" x14ac:dyDescent="0.3">
      <c r="A52" s="82">
        <f t="shared" si="28"/>
        <v>50</v>
      </c>
      <c r="B52" s="83" t="s">
        <v>169</v>
      </c>
      <c r="C52" s="84">
        <v>44845</v>
      </c>
      <c r="D52" s="85"/>
      <c r="E52" s="86" t="s">
        <v>300</v>
      </c>
      <c r="F52" s="87">
        <v>50100515745240</v>
      </c>
      <c r="G52" s="86" t="s">
        <v>363</v>
      </c>
      <c r="H52" s="86" t="s">
        <v>410</v>
      </c>
      <c r="I52" s="86" t="s">
        <v>411</v>
      </c>
      <c r="J52" s="86">
        <v>5218493696</v>
      </c>
      <c r="K52" s="88">
        <v>36748</v>
      </c>
      <c r="L52" s="89" t="s">
        <v>304</v>
      </c>
      <c r="M52" s="89" t="s">
        <v>305</v>
      </c>
      <c r="N52" s="83" t="s">
        <v>306</v>
      </c>
      <c r="O52" s="90">
        <f>VLOOKUP(B52,'Anchor-Attendance'!$B$4:$BB$84,53,0)</f>
        <v>28</v>
      </c>
      <c r="P52" s="91">
        <v>12360</v>
      </c>
      <c r="Q52" s="92">
        <f t="shared" si="0"/>
        <v>12360</v>
      </c>
      <c r="R52" s="93">
        <f t="shared" si="31"/>
        <v>12360</v>
      </c>
      <c r="S52" s="93">
        <v>0</v>
      </c>
      <c r="T52" s="93">
        <v>0</v>
      </c>
      <c r="U52" s="93">
        <v>0</v>
      </c>
      <c r="V52" s="94">
        <f t="shared" si="18"/>
        <v>12360</v>
      </c>
      <c r="W52" s="93">
        <v>0</v>
      </c>
      <c r="X52" s="93">
        <v>0</v>
      </c>
      <c r="Y52" s="94">
        <f t="shared" si="15"/>
        <v>12360</v>
      </c>
      <c r="Z52" s="92">
        <f t="shared" si="4"/>
        <v>12360</v>
      </c>
      <c r="AA52" s="92">
        <f t="shared" si="5"/>
        <v>12360</v>
      </c>
      <c r="AB52" s="92">
        <f t="shared" si="6"/>
        <v>1483</v>
      </c>
      <c r="AC52" s="86">
        <v>0</v>
      </c>
      <c r="AD52" s="82">
        <f t="shared" si="7"/>
        <v>93</v>
      </c>
      <c r="AE52" s="93">
        <f t="shared" si="8"/>
        <v>1029</v>
      </c>
      <c r="AF52" s="93">
        <f t="shared" si="9"/>
        <v>454</v>
      </c>
      <c r="AG52" s="95">
        <f t="shared" si="10"/>
        <v>401.7</v>
      </c>
      <c r="AH52" s="92">
        <v>0</v>
      </c>
      <c r="AI52" s="92">
        <v>0</v>
      </c>
      <c r="AJ52" s="93">
        <v>0</v>
      </c>
      <c r="AK52" s="86">
        <f t="shared" si="11"/>
        <v>0</v>
      </c>
      <c r="AL52" s="96">
        <v>0</v>
      </c>
      <c r="AM52" s="93">
        <f t="shared" si="12"/>
        <v>1576</v>
      </c>
      <c r="AN52" s="93">
        <f t="shared" si="16"/>
        <v>10784</v>
      </c>
      <c r="AO52" s="97"/>
      <c r="AR52" s="99"/>
      <c r="AS52" s="99"/>
      <c r="AT52" s="100"/>
    </row>
    <row r="53" spans="1:46" x14ac:dyDescent="0.3">
      <c r="A53" s="82">
        <f t="shared" si="28"/>
        <v>51</v>
      </c>
      <c r="B53" s="83" t="s">
        <v>153</v>
      </c>
      <c r="C53" s="84">
        <v>44845</v>
      </c>
      <c r="D53" s="85"/>
      <c r="E53" s="86" t="s">
        <v>300</v>
      </c>
      <c r="F53" s="87">
        <v>50100515745148</v>
      </c>
      <c r="G53" s="86" t="s">
        <v>363</v>
      </c>
      <c r="H53" s="86" t="s">
        <v>412</v>
      </c>
      <c r="I53" s="86" t="s">
        <v>413</v>
      </c>
      <c r="J53" s="86">
        <v>5218504642</v>
      </c>
      <c r="K53" s="88">
        <v>36696</v>
      </c>
      <c r="L53" s="89" t="s">
        <v>304</v>
      </c>
      <c r="M53" s="89" t="s">
        <v>305</v>
      </c>
      <c r="N53" s="83" t="s">
        <v>306</v>
      </c>
      <c r="O53" s="90">
        <f>VLOOKUP(B53,'Anchor-Attendance'!$B$4:$BB$84,53,0)</f>
        <v>28</v>
      </c>
      <c r="P53" s="91">
        <v>12360</v>
      </c>
      <c r="Q53" s="92">
        <f t="shared" si="0"/>
        <v>12360</v>
      </c>
      <c r="R53" s="93">
        <f t="shared" si="31"/>
        <v>12360</v>
      </c>
      <c r="S53" s="93">
        <v>0</v>
      </c>
      <c r="T53" s="93">
        <v>0</v>
      </c>
      <c r="U53" s="93">
        <v>0</v>
      </c>
      <c r="V53" s="94">
        <f t="shared" si="18"/>
        <v>12360</v>
      </c>
      <c r="W53" s="93">
        <v>0</v>
      </c>
      <c r="X53" s="93">
        <v>0</v>
      </c>
      <c r="Y53" s="94">
        <f t="shared" si="15"/>
        <v>12360</v>
      </c>
      <c r="Z53" s="92">
        <f t="shared" si="4"/>
        <v>12360</v>
      </c>
      <c r="AA53" s="92">
        <f t="shared" si="5"/>
        <v>12360</v>
      </c>
      <c r="AB53" s="92">
        <f t="shared" si="6"/>
        <v>1483</v>
      </c>
      <c r="AC53" s="86">
        <v>0</v>
      </c>
      <c r="AD53" s="82">
        <f t="shared" si="7"/>
        <v>93</v>
      </c>
      <c r="AE53" s="93">
        <f t="shared" si="8"/>
        <v>1029</v>
      </c>
      <c r="AF53" s="93">
        <f t="shared" si="9"/>
        <v>454</v>
      </c>
      <c r="AG53" s="95">
        <f t="shared" si="10"/>
        <v>401.7</v>
      </c>
      <c r="AH53" s="92">
        <v>0</v>
      </c>
      <c r="AI53" s="92">
        <v>0</v>
      </c>
      <c r="AJ53" s="93">
        <v>0</v>
      </c>
      <c r="AK53" s="86">
        <f t="shared" si="11"/>
        <v>0</v>
      </c>
      <c r="AL53" s="96">
        <v>0</v>
      </c>
      <c r="AM53" s="93">
        <f t="shared" si="12"/>
        <v>1576</v>
      </c>
      <c r="AN53" s="93">
        <f t="shared" si="16"/>
        <v>10784</v>
      </c>
      <c r="AO53" s="97"/>
      <c r="AR53" s="99"/>
      <c r="AS53" s="99"/>
      <c r="AT53" s="100"/>
    </row>
    <row r="54" spans="1:46" x14ac:dyDescent="0.3">
      <c r="A54" s="82">
        <f t="shared" si="28"/>
        <v>52</v>
      </c>
      <c r="B54" s="83" t="s">
        <v>103</v>
      </c>
      <c r="C54" s="84">
        <v>44845</v>
      </c>
      <c r="D54" s="104"/>
      <c r="E54" s="86" t="s">
        <v>300</v>
      </c>
      <c r="F54" s="87">
        <v>50100515744603</v>
      </c>
      <c r="G54" s="86" t="s">
        <v>363</v>
      </c>
      <c r="H54" s="86" t="s">
        <v>414</v>
      </c>
      <c r="I54" s="86" t="s">
        <v>415</v>
      </c>
      <c r="J54" s="86">
        <v>5218504699</v>
      </c>
      <c r="K54" s="88">
        <v>36361</v>
      </c>
      <c r="L54" s="89" t="s">
        <v>304</v>
      </c>
      <c r="M54" s="89" t="s">
        <v>305</v>
      </c>
      <c r="N54" s="83" t="s">
        <v>306</v>
      </c>
      <c r="O54" s="90">
        <f>VLOOKUP(B54,'Anchor-Attendance'!$B$4:$BB$84,53,0)</f>
        <v>28</v>
      </c>
      <c r="P54" s="91">
        <v>12360</v>
      </c>
      <c r="Q54" s="92">
        <f t="shared" si="0"/>
        <v>12360</v>
      </c>
      <c r="R54" s="93">
        <f>Q54*100%</f>
        <v>12360</v>
      </c>
      <c r="S54" s="93">
        <f>Q54*0%</f>
        <v>0</v>
      </c>
      <c r="T54" s="93">
        <v>0</v>
      </c>
      <c r="U54" s="93">
        <v>0</v>
      </c>
      <c r="V54" s="94">
        <f t="shared" si="18"/>
        <v>12360</v>
      </c>
      <c r="W54" s="93">
        <v>0</v>
      </c>
      <c r="X54" s="93">
        <v>0</v>
      </c>
      <c r="Y54" s="94">
        <f t="shared" si="15"/>
        <v>12360</v>
      </c>
      <c r="Z54" s="92">
        <f t="shared" si="4"/>
        <v>12360</v>
      </c>
      <c r="AA54" s="92">
        <f t="shared" si="5"/>
        <v>12360</v>
      </c>
      <c r="AB54" s="92">
        <f t="shared" si="6"/>
        <v>1483</v>
      </c>
      <c r="AC54" s="86">
        <v>0</v>
      </c>
      <c r="AD54" s="82">
        <f t="shared" si="7"/>
        <v>93</v>
      </c>
      <c r="AE54" s="93">
        <f t="shared" si="8"/>
        <v>1029</v>
      </c>
      <c r="AF54" s="93">
        <f t="shared" si="9"/>
        <v>454</v>
      </c>
      <c r="AG54" s="95">
        <f t="shared" si="10"/>
        <v>401.7</v>
      </c>
      <c r="AH54" s="92">
        <v>0</v>
      </c>
      <c r="AI54" s="92">
        <v>0</v>
      </c>
      <c r="AJ54" s="93">
        <v>0</v>
      </c>
      <c r="AK54" s="86">
        <f t="shared" si="11"/>
        <v>0</v>
      </c>
      <c r="AL54" s="96">
        <v>0</v>
      </c>
      <c r="AM54" s="93">
        <f t="shared" si="12"/>
        <v>1576</v>
      </c>
      <c r="AN54" s="93">
        <f t="shared" si="16"/>
        <v>10784</v>
      </c>
      <c r="AO54" s="97"/>
      <c r="AR54" s="99"/>
      <c r="AS54" s="99"/>
      <c r="AT54" s="100"/>
    </row>
    <row r="55" spans="1:46" s="98" customFormat="1" x14ac:dyDescent="0.3">
      <c r="A55" s="118">
        <f t="shared" si="28"/>
        <v>53</v>
      </c>
      <c r="B55" s="116" t="s">
        <v>234</v>
      </c>
      <c r="C55" s="122">
        <v>44845</v>
      </c>
      <c r="D55" s="123"/>
      <c r="E55" s="124" t="s">
        <v>300</v>
      </c>
      <c r="F55" s="87">
        <v>50100515745062</v>
      </c>
      <c r="G55" s="86" t="s">
        <v>363</v>
      </c>
      <c r="H55" s="86" t="s">
        <v>416</v>
      </c>
      <c r="I55" s="86" t="s">
        <v>417</v>
      </c>
      <c r="J55" s="86">
        <v>5218505497</v>
      </c>
      <c r="K55" s="88">
        <v>35569</v>
      </c>
      <c r="L55" s="89" t="s">
        <v>304</v>
      </c>
      <c r="M55" s="125" t="s">
        <v>305</v>
      </c>
      <c r="N55" s="116">
        <f>VLOOKUP(B55,'Anchor-Attendance'!$B$4:$K$84,10,0)</f>
        <v>46072</v>
      </c>
      <c r="O55" s="126">
        <f>VLOOKUP(B55,'Anchor-Attendance'!$B$4:$BB$84,53,0)</f>
        <v>19</v>
      </c>
      <c r="P55" s="127">
        <v>12360</v>
      </c>
      <c r="Q55" s="120">
        <f t="shared" si="0"/>
        <v>8387.1428571428569</v>
      </c>
      <c r="R55" s="128">
        <f t="shared" ref="R55:R59" si="32">Q55*100%</f>
        <v>8387.1428571428569</v>
      </c>
      <c r="S55" s="128">
        <v>0</v>
      </c>
      <c r="T55" s="128">
        <v>0</v>
      </c>
      <c r="U55" s="128">
        <v>0</v>
      </c>
      <c r="V55" s="121">
        <f t="shared" si="18"/>
        <v>8387</v>
      </c>
      <c r="W55" s="128">
        <f>12360-V55</f>
        <v>3973</v>
      </c>
      <c r="X55" s="128">
        <f>AR55</f>
        <v>0</v>
      </c>
      <c r="Y55" s="121">
        <f t="shared" si="15"/>
        <v>12360</v>
      </c>
      <c r="Z55" s="120">
        <f t="shared" si="4"/>
        <v>8387</v>
      </c>
      <c r="AA55" s="120">
        <f t="shared" si="5"/>
        <v>8387</v>
      </c>
      <c r="AB55" s="120">
        <f t="shared" si="6"/>
        <v>1006</v>
      </c>
      <c r="AC55" s="124">
        <v>0</v>
      </c>
      <c r="AD55" s="118">
        <f t="shared" si="7"/>
        <v>93</v>
      </c>
      <c r="AE55" s="128">
        <f t="shared" si="8"/>
        <v>698</v>
      </c>
      <c r="AF55" s="128">
        <f t="shared" si="9"/>
        <v>308</v>
      </c>
      <c r="AG55" s="129">
        <f t="shared" si="10"/>
        <v>401.7</v>
      </c>
      <c r="AH55" s="120">
        <v>0</v>
      </c>
      <c r="AI55" s="120">
        <v>0</v>
      </c>
      <c r="AJ55" s="128">
        <v>0</v>
      </c>
      <c r="AK55" s="124">
        <f t="shared" si="11"/>
        <v>0</v>
      </c>
      <c r="AL55" s="118">
        <v>0</v>
      </c>
      <c r="AM55" s="128">
        <f t="shared" si="12"/>
        <v>1099</v>
      </c>
      <c r="AN55" s="128">
        <f t="shared" si="16"/>
        <v>11261</v>
      </c>
      <c r="AO55" s="130" t="s">
        <v>480</v>
      </c>
      <c r="AP55" s="101">
        <f>ROUND((N55-C55)/365,0)</f>
        <v>3</v>
      </c>
      <c r="AQ55" s="103"/>
      <c r="AR55" s="103"/>
      <c r="AS55" s="131"/>
      <c r="AT55" s="132"/>
    </row>
    <row r="56" spans="1:46" x14ac:dyDescent="0.3">
      <c r="A56" s="82">
        <f t="shared" si="28"/>
        <v>54</v>
      </c>
      <c r="B56" s="83" t="s">
        <v>140</v>
      </c>
      <c r="C56" s="84">
        <v>44845</v>
      </c>
      <c r="D56" s="85"/>
      <c r="E56" s="86" t="s">
        <v>300</v>
      </c>
      <c r="F56" s="87">
        <v>50100519894360</v>
      </c>
      <c r="G56" s="86" t="s">
        <v>363</v>
      </c>
      <c r="H56" s="86" t="s">
        <v>418</v>
      </c>
      <c r="I56" s="86" t="s">
        <v>419</v>
      </c>
      <c r="J56" s="86">
        <v>5218514630</v>
      </c>
      <c r="K56" s="88">
        <v>35596</v>
      </c>
      <c r="L56" s="89" t="s">
        <v>304</v>
      </c>
      <c r="M56" s="89" t="s">
        <v>305</v>
      </c>
      <c r="N56" s="83" t="s">
        <v>306</v>
      </c>
      <c r="O56" s="90">
        <f>VLOOKUP(B56,'Anchor-Attendance'!$B$4:$BB$84,53,0)</f>
        <v>28</v>
      </c>
      <c r="P56" s="91">
        <v>12360</v>
      </c>
      <c r="Q56" s="92">
        <f t="shared" si="0"/>
        <v>12360</v>
      </c>
      <c r="R56" s="93">
        <f t="shared" si="32"/>
        <v>12360</v>
      </c>
      <c r="S56" s="93">
        <v>0</v>
      </c>
      <c r="T56" s="93">
        <v>0</v>
      </c>
      <c r="U56" s="93">
        <v>0</v>
      </c>
      <c r="V56" s="94">
        <f t="shared" si="18"/>
        <v>12360</v>
      </c>
      <c r="W56" s="93">
        <v>0</v>
      </c>
      <c r="X56" s="93">
        <v>0</v>
      </c>
      <c r="Y56" s="94">
        <f t="shared" si="15"/>
        <v>12360</v>
      </c>
      <c r="Z56" s="92">
        <f t="shared" si="4"/>
        <v>12360</v>
      </c>
      <c r="AA56" s="92">
        <f t="shared" si="5"/>
        <v>12360</v>
      </c>
      <c r="AB56" s="92">
        <f t="shared" si="6"/>
        <v>1483</v>
      </c>
      <c r="AC56" s="86">
        <v>0</v>
      </c>
      <c r="AD56" s="82">
        <f t="shared" si="7"/>
        <v>93</v>
      </c>
      <c r="AE56" s="93">
        <f t="shared" si="8"/>
        <v>1029</v>
      </c>
      <c r="AF56" s="93">
        <f t="shared" si="9"/>
        <v>454</v>
      </c>
      <c r="AG56" s="95">
        <f t="shared" si="10"/>
        <v>401.7</v>
      </c>
      <c r="AH56" s="92">
        <v>0</v>
      </c>
      <c r="AI56" s="92">
        <v>0</v>
      </c>
      <c r="AJ56" s="93">
        <v>0</v>
      </c>
      <c r="AK56" s="86">
        <f t="shared" si="11"/>
        <v>0</v>
      </c>
      <c r="AL56" s="96">
        <v>0</v>
      </c>
      <c r="AM56" s="93">
        <f t="shared" si="12"/>
        <v>1576</v>
      </c>
      <c r="AN56" s="93">
        <f t="shared" si="16"/>
        <v>10784</v>
      </c>
      <c r="AO56" s="97"/>
      <c r="AR56" s="99"/>
      <c r="AS56" s="99"/>
      <c r="AT56" s="100"/>
    </row>
    <row r="57" spans="1:46" x14ac:dyDescent="0.3">
      <c r="A57" s="82">
        <f t="shared" si="28"/>
        <v>55</v>
      </c>
      <c r="B57" s="83" t="s">
        <v>179</v>
      </c>
      <c r="C57" s="84">
        <v>44845</v>
      </c>
      <c r="D57" s="85"/>
      <c r="E57" s="86" t="s">
        <v>300</v>
      </c>
      <c r="F57" s="87">
        <v>50100515743474</v>
      </c>
      <c r="G57" s="86" t="s">
        <v>363</v>
      </c>
      <c r="H57" s="86" t="s">
        <v>420</v>
      </c>
      <c r="I57" s="86" t="s">
        <v>421</v>
      </c>
      <c r="J57" s="86">
        <v>5218528649</v>
      </c>
      <c r="K57" s="88">
        <v>36229</v>
      </c>
      <c r="L57" s="89" t="s">
        <v>304</v>
      </c>
      <c r="M57" s="89" t="s">
        <v>305</v>
      </c>
      <c r="N57" s="83" t="s">
        <v>306</v>
      </c>
      <c r="O57" s="90">
        <f>VLOOKUP(B57,'Anchor-Attendance'!$B$4:$BB$84,53,0)</f>
        <v>28</v>
      </c>
      <c r="P57" s="91">
        <v>12360</v>
      </c>
      <c r="Q57" s="92">
        <f t="shared" si="0"/>
        <v>12360</v>
      </c>
      <c r="R57" s="93">
        <f t="shared" si="32"/>
        <v>12360</v>
      </c>
      <c r="S57" s="93">
        <v>0</v>
      </c>
      <c r="T57" s="93">
        <v>0</v>
      </c>
      <c r="U57" s="93">
        <v>0</v>
      </c>
      <c r="V57" s="94">
        <f t="shared" si="18"/>
        <v>12360</v>
      </c>
      <c r="W57" s="93">
        <v>0</v>
      </c>
      <c r="X57" s="93">
        <v>0</v>
      </c>
      <c r="Y57" s="94">
        <f t="shared" si="15"/>
        <v>12360</v>
      </c>
      <c r="Z57" s="92">
        <f t="shared" si="4"/>
        <v>12360</v>
      </c>
      <c r="AA57" s="92">
        <f t="shared" si="5"/>
        <v>12360</v>
      </c>
      <c r="AB57" s="92">
        <f t="shared" si="6"/>
        <v>1483</v>
      </c>
      <c r="AC57" s="86">
        <v>0</v>
      </c>
      <c r="AD57" s="82">
        <f t="shared" si="7"/>
        <v>93</v>
      </c>
      <c r="AE57" s="93">
        <f t="shared" si="8"/>
        <v>1029</v>
      </c>
      <c r="AF57" s="93">
        <f t="shared" si="9"/>
        <v>454</v>
      </c>
      <c r="AG57" s="95">
        <f t="shared" si="10"/>
        <v>401.7</v>
      </c>
      <c r="AH57" s="92">
        <v>0</v>
      </c>
      <c r="AI57" s="92">
        <v>0</v>
      </c>
      <c r="AJ57" s="93">
        <v>0</v>
      </c>
      <c r="AK57" s="86">
        <f t="shared" si="11"/>
        <v>0</v>
      </c>
      <c r="AL57" s="96">
        <v>0</v>
      </c>
      <c r="AM57" s="93">
        <f t="shared" si="12"/>
        <v>1576</v>
      </c>
      <c r="AN57" s="93">
        <f t="shared" si="16"/>
        <v>10784</v>
      </c>
      <c r="AO57" s="97"/>
      <c r="AR57" s="99"/>
      <c r="AS57" s="99"/>
      <c r="AT57" s="100"/>
    </row>
    <row r="58" spans="1:46" x14ac:dyDescent="0.3">
      <c r="A58" s="82">
        <f t="shared" si="28"/>
        <v>56</v>
      </c>
      <c r="B58" s="83" t="s">
        <v>119</v>
      </c>
      <c r="C58" s="84">
        <v>44845</v>
      </c>
      <c r="D58" s="85"/>
      <c r="E58" s="86" t="s">
        <v>300</v>
      </c>
      <c r="F58" s="87">
        <v>50100527663788</v>
      </c>
      <c r="G58" s="86" t="s">
        <v>363</v>
      </c>
      <c r="H58" s="86" t="s">
        <v>422</v>
      </c>
      <c r="I58" s="86" t="s">
        <v>423</v>
      </c>
      <c r="J58" s="86">
        <v>5218515903</v>
      </c>
      <c r="K58" s="88">
        <v>36222</v>
      </c>
      <c r="L58" s="89" t="s">
        <v>304</v>
      </c>
      <c r="M58" s="89" t="s">
        <v>305</v>
      </c>
      <c r="N58" s="83" t="s">
        <v>306</v>
      </c>
      <c r="O58" s="90">
        <f>VLOOKUP(B58,'Anchor-Attendance'!$B$4:$BB$84,53,0)</f>
        <v>25</v>
      </c>
      <c r="P58" s="91">
        <v>12360</v>
      </c>
      <c r="Q58" s="92">
        <f t="shared" si="0"/>
        <v>11035.714285714286</v>
      </c>
      <c r="R58" s="93">
        <f t="shared" si="32"/>
        <v>11035.714285714286</v>
      </c>
      <c r="S58" s="93">
        <v>0</v>
      </c>
      <c r="T58" s="93">
        <v>0</v>
      </c>
      <c r="U58" s="93">
        <v>0</v>
      </c>
      <c r="V58" s="94">
        <f t="shared" si="18"/>
        <v>11036</v>
      </c>
      <c r="W58" s="93">
        <v>0</v>
      </c>
      <c r="X58" s="93">
        <v>0</v>
      </c>
      <c r="Y58" s="94">
        <f t="shared" si="15"/>
        <v>11036</v>
      </c>
      <c r="Z58" s="92">
        <f t="shared" si="4"/>
        <v>11036</v>
      </c>
      <c r="AA58" s="92">
        <f t="shared" si="5"/>
        <v>11036</v>
      </c>
      <c r="AB58" s="92">
        <f t="shared" si="6"/>
        <v>1324</v>
      </c>
      <c r="AC58" s="86">
        <v>0</v>
      </c>
      <c r="AD58" s="82">
        <f t="shared" si="7"/>
        <v>83</v>
      </c>
      <c r="AE58" s="93">
        <f t="shared" si="8"/>
        <v>919</v>
      </c>
      <c r="AF58" s="93">
        <f t="shared" si="9"/>
        <v>405</v>
      </c>
      <c r="AG58" s="95">
        <f t="shared" si="10"/>
        <v>358.67</v>
      </c>
      <c r="AH58" s="92">
        <v>0</v>
      </c>
      <c r="AI58" s="92">
        <v>0</v>
      </c>
      <c r="AJ58" s="93">
        <v>0</v>
      </c>
      <c r="AK58" s="86">
        <f t="shared" si="11"/>
        <v>0</v>
      </c>
      <c r="AL58" s="96">
        <v>0</v>
      </c>
      <c r="AM58" s="93">
        <f t="shared" si="12"/>
        <v>1407</v>
      </c>
      <c r="AN58" s="93">
        <f t="shared" si="16"/>
        <v>9629</v>
      </c>
      <c r="AO58" s="97"/>
      <c r="AP58" s="98"/>
      <c r="AR58" s="99"/>
      <c r="AS58" s="99"/>
      <c r="AT58" s="100"/>
    </row>
    <row r="59" spans="1:46" x14ac:dyDescent="0.3">
      <c r="A59" s="82">
        <f t="shared" si="28"/>
        <v>57</v>
      </c>
      <c r="B59" s="83" t="s">
        <v>95</v>
      </c>
      <c r="C59" s="84">
        <v>44909</v>
      </c>
      <c r="D59" s="85"/>
      <c r="E59" s="86" t="s">
        <v>300</v>
      </c>
      <c r="F59" s="87">
        <v>50100594522253</v>
      </c>
      <c r="G59" s="86" t="s">
        <v>363</v>
      </c>
      <c r="H59" s="86" t="s">
        <v>424</v>
      </c>
      <c r="I59" s="86" t="s">
        <v>425</v>
      </c>
      <c r="J59" s="86">
        <v>5219226426</v>
      </c>
      <c r="K59" s="88">
        <v>36485</v>
      </c>
      <c r="L59" s="89" t="s">
        <v>304</v>
      </c>
      <c r="M59" s="89" t="s">
        <v>305</v>
      </c>
      <c r="N59" s="83" t="s">
        <v>306</v>
      </c>
      <c r="O59" s="90">
        <f>VLOOKUP(B59,'Anchor-Attendance'!$B$4:$BB$84,53,0)</f>
        <v>28</v>
      </c>
      <c r="P59" s="91">
        <v>12360</v>
      </c>
      <c r="Q59" s="92">
        <f t="shared" si="0"/>
        <v>12360</v>
      </c>
      <c r="R59" s="93">
        <f t="shared" si="32"/>
        <v>12360</v>
      </c>
      <c r="S59" s="93">
        <v>0</v>
      </c>
      <c r="T59" s="93">
        <v>0</v>
      </c>
      <c r="U59" s="93">
        <v>0</v>
      </c>
      <c r="V59" s="94">
        <f t="shared" si="18"/>
        <v>12360</v>
      </c>
      <c r="W59" s="93">
        <v>0</v>
      </c>
      <c r="X59" s="93">
        <v>0</v>
      </c>
      <c r="Y59" s="94">
        <f t="shared" si="15"/>
        <v>12360</v>
      </c>
      <c r="Z59" s="92">
        <f t="shared" si="4"/>
        <v>12360</v>
      </c>
      <c r="AA59" s="92">
        <f t="shared" si="5"/>
        <v>12360</v>
      </c>
      <c r="AB59" s="92">
        <f t="shared" si="6"/>
        <v>1483</v>
      </c>
      <c r="AC59" s="86">
        <v>0</v>
      </c>
      <c r="AD59" s="82">
        <f t="shared" si="7"/>
        <v>93</v>
      </c>
      <c r="AE59" s="93">
        <f t="shared" si="8"/>
        <v>1029</v>
      </c>
      <c r="AF59" s="93">
        <f t="shared" si="9"/>
        <v>454</v>
      </c>
      <c r="AG59" s="95">
        <f t="shared" si="10"/>
        <v>401.7</v>
      </c>
      <c r="AH59" s="92">
        <v>0</v>
      </c>
      <c r="AI59" s="92">
        <v>0</v>
      </c>
      <c r="AJ59" s="93">
        <v>0</v>
      </c>
      <c r="AK59" s="86">
        <f t="shared" si="11"/>
        <v>0</v>
      </c>
      <c r="AL59" s="96">
        <v>0</v>
      </c>
      <c r="AM59" s="93">
        <f t="shared" si="12"/>
        <v>1576</v>
      </c>
      <c r="AN59" s="93">
        <f t="shared" si="16"/>
        <v>10784</v>
      </c>
      <c r="AO59" s="97"/>
      <c r="AR59" s="99"/>
      <c r="AS59" s="99"/>
      <c r="AT59" s="100"/>
    </row>
    <row r="60" spans="1:46" x14ac:dyDescent="0.3">
      <c r="A60" s="82">
        <f t="shared" si="28"/>
        <v>58</v>
      </c>
      <c r="B60" s="83" t="s">
        <v>124</v>
      </c>
      <c r="C60" s="84">
        <v>45033</v>
      </c>
      <c r="D60" s="85"/>
      <c r="E60" s="86" t="s">
        <v>426</v>
      </c>
      <c r="F60" s="87">
        <v>50100583384310</v>
      </c>
      <c r="G60" s="86" t="s">
        <v>363</v>
      </c>
      <c r="H60" s="86" t="s">
        <v>427</v>
      </c>
      <c r="I60" s="86" t="s">
        <v>428</v>
      </c>
      <c r="J60" s="86">
        <v>5219251156</v>
      </c>
      <c r="K60" s="88">
        <v>36392</v>
      </c>
      <c r="L60" s="89" t="s">
        <v>304</v>
      </c>
      <c r="M60" s="89" t="s">
        <v>305</v>
      </c>
      <c r="N60" s="83" t="s">
        <v>306</v>
      </c>
      <c r="O60" s="90">
        <f>VLOOKUP(B60,'Anchor-Attendance'!$B$4:$BB$84,53,0)</f>
        <v>28</v>
      </c>
      <c r="P60" s="91">
        <v>17000</v>
      </c>
      <c r="Q60" s="92">
        <f t="shared" si="0"/>
        <v>17000</v>
      </c>
      <c r="R60" s="93">
        <f t="shared" ref="R60" si="33">Q60*90%</f>
        <v>15300</v>
      </c>
      <c r="S60" s="93">
        <f t="shared" ref="S60" si="34">Q60*10%</f>
        <v>1700</v>
      </c>
      <c r="T60" s="93">
        <v>0</v>
      </c>
      <c r="U60" s="93">
        <v>0</v>
      </c>
      <c r="V60" s="94">
        <f t="shared" si="18"/>
        <v>17000</v>
      </c>
      <c r="W60" s="93">
        <v>0</v>
      </c>
      <c r="X60" s="93">
        <v>0</v>
      </c>
      <c r="Y60" s="94">
        <f t="shared" si="15"/>
        <v>17000</v>
      </c>
      <c r="Z60" s="92">
        <f t="shared" si="4"/>
        <v>15300</v>
      </c>
      <c r="AA60" s="92">
        <f t="shared" si="5"/>
        <v>15000</v>
      </c>
      <c r="AB60" s="92">
        <f t="shared" si="6"/>
        <v>1800</v>
      </c>
      <c r="AC60" s="86">
        <v>0</v>
      </c>
      <c r="AD60" s="82">
        <f t="shared" si="7"/>
        <v>128</v>
      </c>
      <c r="AE60" s="93">
        <f t="shared" si="8"/>
        <v>1250</v>
      </c>
      <c r="AF60" s="93">
        <f t="shared" si="9"/>
        <v>550</v>
      </c>
      <c r="AG60" s="95">
        <f t="shared" si="10"/>
        <v>552.5</v>
      </c>
      <c r="AH60" s="92">
        <v>0</v>
      </c>
      <c r="AI60" s="92">
        <v>0</v>
      </c>
      <c r="AJ60" s="93">
        <v>0</v>
      </c>
      <c r="AK60" s="86">
        <f t="shared" si="11"/>
        <v>150</v>
      </c>
      <c r="AL60" s="96">
        <v>0</v>
      </c>
      <c r="AM60" s="93">
        <f t="shared" si="12"/>
        <v>1928</v>
      </c>
      <c r="AN60" s="93">
        <f t="shared" si="16"/>
        <v>14922</v>
      </c>
      <c r="AO60" s="97"/>
      <c r="AR60" s="99"/>
      <c r="AS60" s="99"/>
      <c r="AT60" s="100"/>
    </row>
    <row r="61" spans="1:46" x14ac:dyDescent="0.3">
      <c r="A61" s="82">
        <f t="shared" si="28"/>
        <v>59</v>
      </c>
      <c r="B61" s="83" t="s">
        <v>87</v>
      </c>
      <c r="C61" s="84">
        <v>45033</v>
      </c>
      <c r="D61" s="85"/>
      <c r="E61" s="86" t="s">
        <v>300</v>
      </c>
      <c r="F61" s="87">
        <v>50100588150309</v>
      </c>
      <c r="G61" s="86" t="s">
        <v>301</v>
      </c>
      <c r="H61" s="86" t="s">
        <v>429</v>
      </c>
      <c r="I61" s="86" t="s">
        <v>430</v>
      </c>
      <c r="J61" s="86">
        <v>5219258989</v>
      </c>
      <c r="K61" s="88">
        <v>37365</v>
      </c>
      <c r="L61" s="89" t="s">
        <v>304</v>
      </c>
      <c r="M61" s="89" t="s">
        <v>305</v>
      </c>
      <c r="N61" s="83" t="s">
        <v>306</v>
      </c>
      <c r="O61" s="90">
        <f>VLOOKUP(B61,'Anchor-Attendance'!$B$4:$BB$84,53,0)</f>
        <v>28</v>
      </c>
      <c r="P61" s="91">
        <v>12360</v>
      </c>
      <c r="Q61" s="92">
        <f t="shared" si="0"/>
        <v>12360</v>
      </c>
      <c r="R61" s="93">
        <f t="shared" ref="R61" si="35">Q61*100%</f>
        <v>12360</v>
      </c>
      <c r="S61" s="93">
        <v>0</v>
      </c>
      <c r="T61" s="93">
        <v>0</v>
      </c>
      <c r="U61" s="93">
        <v>0</v>
      </c>
      <c r="V61" s="94">
        <f t="shared" si="18"/>
        <v>12360</v>
      </c>
      <c r="W61" s="93">
        <v>0</v>
      </c>
      <c r="X61" s="93">
        <v>0</v>
      </c>
      <c r="Y61" s="94">
        <f t="shared" si="15"/>
        <v>12360</v>
      </c>
      <c r="Z61" s="92">
        <f t="shared" si="4"/>
        <v>12360</v>
      </c>
      <c r="AA61" s="92">
        <f t="shared" si="5"/>
        <v>12360</v>
      </c>
      <c r="AB61" s="92">
        <f t="shared" si="6"/>
        <v>1483</v>
      </c>
      <c r="AC61" s="86">
        <v>0</v>
      </c>
      <c r="AD61" s="82">
        <f t="shared" si="7"/>
        <v>93</v>
      </c>
      <c r="AE61" s="93">
        <f t="shared" si="8"/>
        <v>1029</v>
      </c>
      <c r="AF61" s="93">
        <f t="shared" si="9"/>
        <v>454</v>
      </c>
      <c r="AG61" s="95">
        <f t="shared" si="10"/>
        <v>401.7</v>
      </c>
      <c r="AH61" s="92">
        <v>0</v>
      </c>
      <c r="AI61" s="92">
        <v>0</v>
      </c>
      <c r="AJ61" s="93">
        <v>5763</v>
      </c>
      <c r="AK61" s="86">
        <f t="shared" si="11"/>
        <v>0</v>
      </c>
      <c r="AL61" s="96">
        <v>0</v>
      </c>
      <c r="AM61" s="93">
        <f t="shared" si="12"/>
        <v>1576</v>
      </c>
      <c r="AN61" s="93">
        <f t="shared" si="16"/>
        <v>5021</v>
      </c>
      <c r="AO61" s="97"/>
      <c r="AR61" s="99"/>
      <c r="AS61" s="99"/>
      <c r="AT61" s="100"/>
    </row>
    <row r="62" spans="1:46" s="98" customFormat="1" x14ac:dyDescent="0.3">
      <c r="A62" s="118">
        <f t="shared" si="28"/>
        <v>60</v>
      </c>
      <c r="B62" s="116" t="s">
        <v>232</v>
      </c>
      <c r="C62" s="122">
        <v>45033</v>
      </c>
      <c r="D62" s="123"/>
      <c r="E62" s="124" t="s">
        <v>300</v>
      </c>
      <c r="F62" s="87">
        <v>50100491125841</v>
      </c>
      <c r="G62" s="86" t="s">
        <v>431</v>
      </c>
      <c r="H62" s="86" t="s">
        <v>432</v>
      </c>
      <c r="I62" s="86" t="s">
        <v>433</v>
      </c>
      <c r="J62" s="86">
        <v>5219252907</v>
      </c>
      <c r="K62" s="88">
        <v>36289</v>
      </c>
      <c r="L62" s="89" t="s">
        <v>304</v>
      </c>
      <c r="M62" s="125" t="s">
        <v>305</v>
      </c>
      <c r="N62" s="116">
        <f>VLOOKUP(B62,'Anchor-Attendance'!$B$4:$K$84,10,0)</f>
        <v>46072</v>
      </c>
      <c r="O62" s="126">
        <f>VLOOKUP(B62,'Anchor-Attendance'!$B$4:$BB$84,53,0)</f>
        <v>19</v>
      </c>
      <c r="P62" s="127">
        <v>12360</v>
      </c>
      <c r="Q62" s="120">
        <f t="shared" si="0"/>
        <v>8387.1428571428569</v>
      </c>
      <c r="R62" s="128">
        <f>Q62*100%</f>
        <v>8387.1428571428569</v>
      </c>
      <c r="S62" s="128">
        <v>0</v>
      </c>
      <c r="T62" s="128">
        <v>0</v>
      </c>
      <c r="U62" s="128">
        <v>0</v>
      </c>
      <c r="V62" s="121">
        <f t="shared" si="18"/>
        <v>8387</v>
      </c>
      <c r="W62" s="128">
        <f>12360-V62</f>
        <v>3973</v>
      </c>
      <c r="X62" s="128">
        <f>AR62</f>
        <v>0</v>
      </c>
      <c r="Y62" s="121">
        <f t="shared" si="15"/>
        <v>12360</v>
      </c>
      <c r="Z62" s="120">
        <f t="shared" si="4"/>
        <v>8387</v>
      </c>
      <c r="AA62" s="120">
        <f t="shared" si="5"/>
        <v>8387</v>
      </c>
      <c r="AB62" s="120">
        <f t="shared" si="6"/>
        <v>1006</v>
      </c>
      <c r="AC62" s="124">
        <v>0</v>
      </c>
      <c r="AD62" s="118">
        <f t="shared" si="7"/>
        <v>93</v>
      </c>
      <c r="AE62" s="128">
        <f t="shared" si="8"/>
        <v>698</v>
      </c>
      <c r="AF62" s="128">
        <f t="shared" si="9"/>
        <v>308</v>
      </c>
      <c r="AG62" s="129">
        <f t="shared" si="10"/>
        <v>401.7</v>
      </c>
      <c r="AH62" s="120">
        <v>0</v>
      </c>
      <c r="AI62" s="120">
        <v>0</v>
      </c>
      <c r="AJ62" s="128">
        <v>0</v>
      </c>
      <c r="AK62" s="124">
        <f t="shared" si="11"/>
        <v>0</v>
      </c>
      <c r="AL62" s="118">
        <v>0</v>
      </c>
      <c r="AM62" s="128">
        <f t="shared" si="12"/>
        <v>1099</v>
      </c>
      <c r="AN62" s="128">
        <f t="shared" si="16"/>
        <v>11261</v>
      </c>
      <c r="AO62" s="130" t="s">
        <v>480</v>
      </c>
      <c r="AP62" s="101">
        <f>ROUND((N62-C62)/365,0)</f>
        <v>3</v>
      </c>
      <c r="AQ62" s="103"/>
      <c r="AR62" s="103"/>
      <c r="AS62" s="131"/>
      <c r="AT62" s="132"/>
    </row>
    <row r="63" spans="1:46" x14ac:dyDescent="0.3">
      <c r="A63" s="82">
        <f t="shared" si="28"/>
        <v>61</v>
      </c>
      <c r="B63" s="83" t="s">
        <v>108</v>
      </c>
      <c r="C63" s="84">
        <v>45033</v>
      </c>
      <c r="D63" s="85"/>
      <c r="E63" s="86" t="s">
        <v>300</v>
      </c>
      <c r="F63" s="87">
        <v>50100593127547</v>
      </c>
      <c r="G63" s="86" t="s">
        <v>301</v>
      </c>
      <c r="H63" s="86" t="s">
        <v>434</v>
      </c>
      <c r="I63" s="86" t="s">
        <v>435</v>
      </c>
      <c r="J63" s="86">
        <v>5219251524</v>
      </c>
      <c r="K63" s="88">
        <v>36652</v>
      </c>
      <c r="L63" s="89" t="s">
        <v>304</v>
      </c>
      <c r="M63" s="89" t="s">
        <v>305</v>
      </c>
      <c r="N63" s="83" t="s">
        <v>306</v>
      </c>
      <c r="O63" s="90">
        <f>VLOOKUP(B63,'Anchor-Attendance'!$B$4:$BB$84,53,0)</f>
        <v>28</v>
      </c>
      <c r="P63" s="91">
        <v>12360</v>
      </c>
      <c r="Q63" s="92">
        <f t="shared" ref="Q63:Q81" si="36">P63/$O$1*O63</f>
        <v>12360</v>
      </c>
      <c r="R63" s="93">
        <f t="shared" ref="R63:R81" si="37">Q63*100%</f>
        <v>12360</v>
      </c>
      <c r="S63" s="93">
        <v>0</v>
      </c>
      <c r="T63" s="93">
        <v>0</v>
      </c>
      <c r="U63" s="93">
        <v>0</v>
      </c>
      <c r="V63" s="94">
        <f t="shared" si="18"/>
        <v>12360</v>
      </c>
      <c r="W63" s="93">
        <v>0</v>
      </c>
      <c r="X63" s="93">
        <v>0</v>
      </c>
      <c r="Y63" s="94">
        <f t="shared" si="15"/>
        <v>12360</v>
      </c>
      <c r="Z63" s="92">
        <f t="shared" ref="Z63:Z82" si="38">ROUND(SUM(R63:U63)-S63,0)</f>
        <v>12360</v>
      </c>
      <c r="AA63" s="92">
        <f t="shared" ref="AA63:AA82" si="39">ROUND(IF(Z63&gt;15000,15000,Z63),0)</f>
        <v>12360</v>
      </c>
      <c r="AB63" s="92">
        <f t="shared" ref="AB63:AB82" si="40">ROUND(IF(Z63&gt;15000,1800,Z63*12%),0)</f>
        <v>1483</v>
      </c>
      <c r="AC63" s="86">
        <v>0</v>
      </c>
      <c r="AD63" s="82">
        <f t="shared" ref="AD63:AD82" si="41">ROUNDUP(IF(P63&gt;21000,0,(Y63-X63)*0.75%),0)</f>
        <v>93</v>
      </c>
      <c r="AE63" s="93">
        <f t="shared" ref="AE63:AE82" si="42">ROUND(AB63/12%*8.33%,0)</f>
        <v>1029</v>
      </c>
      <c r="AF63" s="93">
        <f t="shared" ref="AF63:AF82" si="43">+AB63-AE63</f>
        <v>454</v>
      </c>
      <c r="AG63" s="95">
        <f t="shared" ref="AG63:AG82" si="44">IF(P63&gt;21000,0,(Y63-X63)*3.25%)</f>
        <v>401.7</v>
      </c>
      <c r="AH63" s="92">
        <v>0</v>
      </c>
      <c r="AI63" s="92">
        <v>0</v>
      </c>
      <c r="AJ63" s="93">
        <v>0</v>
      </c>
      <c r="AK63" s="86">
        <f t="shared" ref="AK63:AK82" si="45">IF((Y63-X63)&gt;=20001,200,IF((Y63-X63)&gt;=15001,150,0))</f>
        <v>0</v>
      </c>
      <c r="AL63" s="96">
        <v>0</v>
      </c>
      <c r="AM63" s="93">
        <f t="shared" ref="AM63:AM82" si="46">AB63+AD63+AL63</f>
        <v>1576</v>
      </c>
      <c r="AN63" s="93">
        <f t="shared" si="16"/>
        <v>10784</v>
      </c>
      <c r="AO63" s="97"/>
      <c r="AR63" s="99"/>
      <c r="AS63" s="99"/>
      <c r="AT63" s="100"/>
    </row>
    <row r="64" spans="1:46" x14ac:dyDescent="0.3">
      <c r="A64" s="82">
        <f t="shared" si="28"/>
        <v>62</v>
      </c>
      <c r="B64" s="83" t="s">
        <v>171</v>
      </c>
      <c r="C64" s="84">
        <v>45033</v>
      </c>
      <c r="D64" s="85"/>
      <c r="E64" s="86" t="s">
        <v>300</v>
      </c>
      <c r="F64" s="87">
        <v>50100590041922</v>
      </c>
      <c r="G64" s="86" t="s">
        <v>363</v>
      </c>
      <c r="H64" s="86" t="s">
        <v>436</v>
      </c>
      <c r="I64" s="86" t="s">
        <v>437</v>
      </c>
      <c r="J64" s="86">
        <v>5219246416</v>
      </c>
      <c r="K64" s="88">
        <v>38181</v>
      </c>
      <c r="L64" s="89" t="s">
        <v>304</v>
      </c>
      <c r="M64" s="89" t="s">
        <v>305</v>
      </c>
      <c r="N64" s="83" t="s">
        <v>306</v>
      </c>
      <c r="O64" s="90">
        <f>VLOOKUP(B64,'Anchor-Attendance'!$B$4:$BB$84,53,0)</f>
        <v>28</v>
      </c>
      <c r="P64" s="91">
        <v>12360</v>
      </c>
      <c r="Q64" s="92">
        <f t="shared" si="36"/>
        <v>12360</v>
      </c>
      <c r="R64" s="93">
        <f t="shared" si="37"/>
        <v>12360</v>
      </c>
      <c r="S64" s="93">
        <v>0</v>
      </c>
      <c r="T64" s="93">
        <v>0</v>
      </c>
      <c r="U64" s="93">
        <v>0</v>
      </c>
      <c r="V64" s="94">
        <f t="shared" si="18"/>
        <v>12360</v>
      </c>
      <c r="W64" s="93">
        <v>0</v>
      </c>
      <c r="X64" s="93">
        <v>0</v>
      </c>
      <c r="Y64" s="94">
        <f t="shared" ref="Y64:Y82" si="47">SUM(V64:X64)</f>
        <v>12360</v>
      </c>
      <c r="Z64" s="92">
        <f t="shared" si="38"/>
        <v>12360</v>
      </c>
      <c r="AA64" s="92">
        <f t="shared" si="39"/>
        <v>12360</v>
      </c>
      <c r="AB64" s="92">
        <f t="shared" si="40"/>
        <v>1483</v>
      </c>
      <c r="AC64" s="86">
        <v>0</v>
      </c>
      <c r="AD64" s="82">
        <f t="shared" si="41"/>
        <v>93</v>
      </c>
      <c r="AE64" s="93">
        <f t="shared" si="42"/>
        <v>1029</v>
      </c>
      <c r="AF64" s="93">
        <f t="shared" si="43"/>
        <v>454</v>
      </c>
      <c r="AG64" s="95">
        <f t="shared" si="44"/>
        <v>401.7</v>
      </c>
      <c r="AH64" s="92">
        <v>0</v>
      </c>
      <c r="AI64" s="92">
        <v>0</v>
      </c>
      <c r="AJ64" s="93">
        <v>0</v>
      </c>
      <c r="AK64" s="86">
        <f t="shared" si="45"/>
        <v>0</v>
      </c>
      <c r="AL64" s="96">
        <v>0</v>
      </c>
      <c r="AM64" s="93">
        <f t="shared" si="46"/>
        <v>1576</v>
      </c>
      <c r="AN64" s="93">
        <f t="shared" ref="AN64:AN82" si="48">SUM(ROUND((Y64)-(AH64+AI64+AJ64+AK64+AM64),0),0)</f>
        <v>10784</v>
      </c>
      <c r="AO64" s="97"/>
      <c r="AR64" s="99"/>
      <c r="AS64" s="99"/>
      <c r="AT64" s="100"/>
    </row>
    <row r="65" spans="1:46" x14ac:dyDescent="0.3">
      <c r="A65" s="82">
        <f t="shared" si="28"/>
        <v>63</v>
      </c>
      <c r="B65" s="83" t="s">
        <v>155</v>
      </c>
      <c r="C65" s="84">
        <v>45033</v>
      </c>
      <c r="D65" s="85"/>
      <c r="E65" s="86" t="s">
        <v>300</v>
      </c>
      <c r="F65" s="87">
        <v>50100594521750</v>
      </c>
      <c r="G65" s="86" t="s">
        <v>363</v>
      </c>
      <c r="H65" s="86" t="s">
        <v>438</v>
      </c>
      <c r="I65" s="86" t="s">
        <v>439</v>
      </c>
      <c r="J65" s="86">
        <v>5219306223</v>
      </c>
      <c r="K65" s="88">
        <v>37297</v>
      </c>
      <c r="L65" s="89" t="s">
        <v>304</v>
      </c>
      <c r="M65" s="89" t="s">
        <v>305</v>
      </c>
      <c r="N65" s="83" t="s">
        <v>306</v>
      </c>
      <c r="O65" s="90">
        <f>VLOOKUP(B65,'Anchor-Attendance'!$B$4:$BB$84,53,0)</f>
        <v>28</v>
      </c>
      <c r="P65" s="91">
        <v>12360</v>
      </c>
      <c r="Q65" s="92">
        <f t="shared" si="36"/>
        <v>12360</v>
      </c>
      <c r="R65" s="93">
        <f t="shared" si="37"/>
        <v>12360</v>
      </c>
      <c r="S65" s="93">
        <v>0</v>
      </c>
      <c r="T65" s="93">
        <v>0</v>
      </c>
      <c r="U65" s="93">
        <v>0</v>
      </c>
      <c r="V65" s="94">
        <f t="shared" si="18"/>
        <v>12360</v>
      </c>
      <c r="W65" s="93">
        <v>0</v>
      </c>
      <c r="X65" s="93">
        <v>0</v>
      </c>
      <c r="Y65" s="94">
        <f t="shared" si="47"/>
        <v>12360</v>
      </c>
      <c r="Z65" s="92">
        <f t="shared" si="38"/>
        <v>12360</v>
      </c>
      <c r="AA65" s="92">
        <f t="shared" si="39"/>
        <v>12360</v>
      </c>
      <c r="AB65" s="92">
        <f t="shared" si="40"/>
        <v>1483</v>
      </c>
      <c r="AC65" s="86">
        <v>0</v>
      </c>
      <c r="AD65" s="82">
        <f t="shared" si="41"/>
        <v>93</v>
      </c>
      <c r="AE65" s="93">
        <f t="shared" si="42"/>
        <v>1029</v>
      </c>
      <c r="AF65" s="93">
        <f t="shared" si="43"/>
        <v>454</v>
      </c>
      <c r="AG65" s="95">
        <f t="shared" si="44"/>
        <v>401.7</v>
      </c>
      <c r="AH65" s="92">
        <v>0</v>
      </c>
      <c r="AI65" s="92">
        <v>0</v>
      </c>
      <c r="AJ65" s="93">
        <v>0</v>
      </c>
      <c r="AK65" s="86">
        <f t="shared" si="45"/>
        <v>0</v>
      </c>
      <c r="AL65" s="96">
        <v>0</v>
      </c>
      <c r="AM65" s="93">
        <f t="shared" si="46"/>
        <v>1576</v>
      </c>
      <c r="AN65" s="93">
        <f t="shared" si="48"/>
        <v>10784</v>
      </c>
      <c r="AO65" s="97"/>
      <c r="AR65" s="99"/>
      <c r="AS65" s="99"/>
      <c r="AT65" s="100"/>
    </row>
    <row r="66" spans="1:46" x14ac:dyDescent="0.3">
      <c r="A66" s="82">
        <f t="shared" si="28"/>
        <v>64</v>
      </c>
      <c r="B66" s="83" t="s">
        <v>175</v>
      </c>
      <c r="C66" s="84">
        <v>45033</v>
      </c>
      <c r="D66" s="85"/>
      <c r="E66" s="86" t="s">
        <v>300</v>
      </c>
      <c r="F66" s="87">
        <v>50100590014820</v>
      </c>
      <c r="G66" s="86" t="s">
        <v>363</v>
      </c>
      <c r="H66" s="86" t="s">
        <v>440</v>
      </c>
      <c r="I66" s="86" t="s">
        <v>441</v>
      </c>
      <c r="J66" s="86">
        <v>5219296272</v>
      </c>
      <c r="K66" s="88">
        <v>37275</v>
      </c>
      <c r="L66" s="89" t="s">
        <v>304</v>
      </c>
      <c r="M66" s="89" t="s">
        <v>305</v>
      </c>
      <c r="N66" s="83" t="s">
        <v>306</v>
      </c>
      <c r="O66" s="90">
        <f>VLOOKUP(B66,'Anchor-Attendance'!$B$4:$BB$84,53,0)</f>
        <v>28</v>
      </c>
      <c r="P66" s="91">
        <v>12360</v>
      </c>
      <c r="Q66" s="92">
        <f t="shared" si="36"/>
        <v>12360</v>
      </c>
      <c r="R66" s="93">
        <f t="shared" si="37"/>
        <v>12360</v>
      </c>
      <c r="S66" s="93">
        <v>0</v>
      </c>
      <c r="T66" s="93">
        <v>0</v>
      </c>
      <c r="U66" s="93">
        <v>0</v>
      </c>
      <c r="V66" s="94">
        <f t="shared" si="18"/>
        <v>12360</v>
      </c>
      <c r="W66" s="93">
        <v>0</v>
      </c>
      <c r="X66" s="93">
        <v>0</v>
      </c>
      <c r="Y66" s="94">
        <f t="shared" si="47"/>
        <v>12360</v>
      </c>
      <c r="Z66" s="92">
        <f t="shared" si="38"/>
        <v>12360</v>
      </c>
      <c r="AA66" s="92">
        <f t="shared" si="39"/>
        <v>12360</v>
      </c>
      <c r="AB66" s="92">
        <f t="shared" si="40"/>
        <v>1483</v>
      </c>
      <c r="AC66" s="86">
        <v>0</v>
      </c>
      <c r="AD66" s="82">
        <f t="shared" si="41"/>
        <v>93</v>
      </c>
      <c r="AE66" s="93">
        <f t="shared" si="42"/>
        <v>1029</v>
      </c>
      <c r="AF66" s="93">
        <f t="shared" si="43"/>
        <v>454</v>
      </c>
      <c r="AG66" s="95">
        <f t="shared" si="44"/>
        <v>401.7</v>
      </c>
      <c r="AH66" s="92">
        <v>0</v>
      </c>
      <c r="AI66" s="92">
        <v>0</v>
      </c>
      <c r="AJ66" s="93">
        <v>0</v>
      </c>
      <c r="AK66" s="86">
        <f t="shared" si="45"/>
        <v>0</v>
      </c>
      <c r="AL66" s="96">
        <v>0</v>
      </c>
      <c r="AM66" s="93">
        <f t="shared" si="46"/>
        <v>1576</v>
      </c>
      <c r="AN66" s="93">
        <f t="shared" si="48"/>
        <v>10784</v>
      </c>
      <c r="AO66" s="97"/>
      <c r="AR66" s="99"/>
      <c r="AS66" s="99"/>
      <c r="AT66" s="100"/>
    </row>
    <row r="67" spans="1:46" x14ac:dyDescent="0.3">
      <c r="A67" s="82">
        <f t="shared" si="28"/>
        <v>65</v>
      </c>
      <c r="B67" s="83" t="s">
        <v>177</v>
      </c>
      <c r="C67" s="84">
        <v>45033</v>
      </c>
      <c r="D67" s="85"/>
      <c r="E67" s="86" t="s">
        <v>300</v>
      </c>
      <c r="F67" s="87">
        <v>50100590014833</v>
      </c>
      <c r="G67" s="86" t="s">
        <v>363</v>
      </c>
      <c r="H67" s="86" t="s">
        <v>442</v>
      </c>
      <c r="I67" s="86" t="s">
        <v>443</v>
      </c>
      <c r="J67" s="86">
        <v>5219306282</v>
      </c>
      <c r="K67" s="88">
        <v>37054</v>
      </c>
      <c r="L67" s="89" t="s">
        <v>304</v>
      </c>
      <c r="M67" s="89" t="s">
        <v>305</v>
      </c>
      <c r="N67" s="83" t="s">
        <v>306</v>
      </c>
      <c r="O67" s="90">
        <f>VLOOKUP(B67,'Anchor-Attendance'!$B$4:$BB$84,53,0)</f>
        <v>28</v>
      </c>
      <c r="P67" s="91">
        <v>12360</v>
      </c>
      <c r="Q67" s="92">
        <f t="shared" si="36"/>
        <v>12360</v>
      </c>
      <c r="R67" s="93">
        <f t="shared" si="37"/>
        <v>12360</v>
      </c>
      <c r="S67" s="93">
        <v>0</v>
      </c>
      <c r="T67" s="93">
        <v>0</v>
      </c>
      <c r="U67" s="93">
        <v>0</v>
      </c>
      <c r="V67" s="94">
        <f t="shared" si="18"/>
        <v>12360</v>
      </c>
      <c r="W67" s="93">
        <v>0</v>
      </c>
      <c r="X67" s="93">
        <v>0</v>
      </c>
      <c r="Y67" s="94">
        <f t="shared" si="47"/>
        <v>12360</v>
      </c>
      <c r="Z67" s="92">
        <f t="shared" si="38"/>
        <v>12360</v>
      </c>
      <c r="AA67" s="92">
        <f t="shared" si="39"/>
        <v>12360</v>
      </c>
      <c r="AB67" s="92">
        <f t="shared" si="40"/>
        <v>1483</v>
      </c>
      <c r="AC67" s="86">
        <v>0</v>
      </c>
      <c r="AD67" s="82">
        <f t="shared" si="41"/>
        <v>93</v>
      </c>
      <c r="AE67" s="93">
        <f t="shared" si="42"/>
        <v>1029</v>
      </c>
      <c r="AF67" s="93">
        <f t="shared" si="43"/>
        <v>454</v>
      </c>
      <c r="AG67" s="95">
        <f t="shared" si="44"/>
        <v>401.7</v>
      </c>
      <c r="AH67" s="92">
        <v>0</v>
      </c>
      <c r="AI67" s="92">
        <v>0</v>
      </c>
      <c r="AJ67" s="93">
        <v>0</v>
      </c>
      <c r="AK67" s="86">
        <f t="shared" si="45"/>
        <v>0</v>
      </c>
      <c r="AL67" s="96">
        <v>0</v>
      </c>
      <c r="AM67" s="93">
        <f t="shared" si="46"/>
        <v>1576</v>
      </c>
      <c r="AN67" s="93">
        <f t="shared" si="48"/>
        <v>10784</v>
      </c>
      <c r="AO67" s="97"/>
      <c r="AR67" s="99"/>
      <c r="AS67" s="99"/>
      <c r="AT67" s="100"/>
    </row>
    <row r="68" spans="1:46" s="98" customFormat="1" x14ac:dyDescent="0.3">
      <c r="A68" s="118">
        <f t="shared" si="28"/>
        <v>66</v>
      </c>
      <c r="B68" s="116" t="s">
        <v>249</v>
      </c>
      <c r="C68" s="116">
        <v>45033</v>
      </c>
      <c r="D68" s="119"/>
      <c r="E68" s="118" t="s">
        <v>300</v>
      </c>
      <c r="F68" s="87">
        <v>50100594521938</v>
      </c>
      <c r="G68" s="86" t="s">
        <v>444</v>
      </c>
      <c r="H68" s="86" t="s">
        <v>445</v>
      </c>
      <c r="I68" s="86" t="s">
        <v>446</v>
      </c>
      <c r="J68" s="86">
        <v>5219305106</v>
      </c>
      <c r="K68" s="105">
        <v>35587</v>
      </c>
      <c r="L68" s="106" t="s">
        <v>304</v>
      </c>
      <c r="M68" s="140" t="s">
        <v>305</v>
      </c>
      <c r="N68" s="116">
        <f>VLOOKUP(B68,'Anchor-Attendance'!$B$4:$K$84,10,0)</f>
        <v>46060</v>
      </c>
      <c r="O68" s="126">
        <f>VLOOKUP(B68,'Anchor-Attendance'!$B$4:$BB$84,53,0)</f>
        <v>2</v>
      </c>
      <c r="P68" s="120">
        <v>12360</v>
      </c>
      <c r="Q68" s="120">
        <f t="shared" si="36"/>
        <v>882.85714285714289</v>
      </c>
      <c r="R68" s="120">
        <f t="shared" si="37"/>
        <v>882.85714285714289</v>
      </c>
      <c r="S68" s="120">
        <v>0</v>
      </c>
      <c r="T68" s="120">
        <v>0</v>
      </c>
      <c r="U68" s="120">
        <v>0</v>
      </c>
      <c r="V68" s="121">
        <f t="shared" si="18"/>
        <v>883</v>
      </c>
      <c r="W68" s="128">
        <v>0</v>
      </c>
      <c r="X68" s="120">
        <f>AR68</f>
        <v>0</v>
      </c>
      <c r="Y68" s="121">
        <f t="shared" si="47"/>
        <v>883</v>
      </c>
      <c r="Z68" s="120">
        <f t="shared" si="38"/>
        <v>883</v>
      </c>
      <c r="AA68" s="120">
        <f t="shared" si="39"/>
        <v>883</v>
      </c>
      <c r="AB68" s="120">
        <f t="shared" si="40"/>
        <v>106</v>
      </c>
      <c r="AC68" s="118">
        <v>0</v>
      </c>
      <c r="AD68" s="118">
        <f t="shared" si="41"/>
        <v>7</v>
      </c>
      <c r="AE68" s="120">
        <f t="shared" si="42"/>
        <v>74</v>
      </c>
      <c r="AF68" s="120">
        <f t="shared" si="43"/>
        <v>32</v>
      </c>
      <c r="AG68" s="129">
        <f t="shared" si="44"/>
        <v>28.697500000000002</v>
      </c>
      <c r="AH68" s="120">
        <v>0</v>
      </c>
      <c r="AI68" s="120">
        <v>0</v>
      </c>
      <c r="AJ68" s="120">
        <v>0</v>
      </c>
      <c r="AK68" s="118">
        <f t="shared" si="45"/>
        <v>0</v>
      </c>
      <c r="AL68" s="118">
        <v>0</v>
      </c>
      <c r="AM68" s="120">
        <f t="shared" si="46"/>
        <v>113</v>
      </c>
      <c r="AN68" s="120">
        <f t="shared" si="48"/>
        <v>770</v>
      </c>
      <c r="AO68" s="130"/>
      <c r="AP68" s="101">
        <f>ROUND((N68-C68)/365,0)</f>
        <v>3</v>
      </c>
      <c r="AQ68" s="103"/>
      <c r="AR68" s="103"/>
      <c r="AS68" s="131"/>
      <c r="AT68" s="132"/>
    </row>
    <row r="69" spans="1:46" x14ac:dyDescent="0.3">
      <c r="A69" s="82">
        <f t="shared" ref="A69:A82" si="49">A68+1</f>
        <v>67</v>
      </c>
      <c r="B69" s="83" t="s">
        <v>143</v>
      </c>
      <c r="C69" s="84">
        <v>45047</v>
      </c>
      <c r="D69" s="85"/>
      <c r="E69" s="86" t="s">
        <v>300</v>
      </c>
      <c r="F69" s="87">
        <v>50100620735829</v>
      </c>
      <c r="G69" s="86" t="s">
        <v>447</v>
      </c>
      <c r="H69" s="86" t="s">
        <v>448</v>
      </c>
      <c r="I69" s="86" t="s">
        <v>449</v>
      </c>
      <c r="J69" s="86">
        <v>5219560268</v>
      </c>
      <c r="K69" s="88">
        <v>37205</v>
      </c>
      <c r="L69" s="89" t="s">
        <v>304</v>
      </c>
      <c r="M69" s="89" t="s">
        <v>305</v>
      </c>
      <c r="N69" s="83" t="s">
        <v>306</v>
      </c>
      <c r="O69" s="90">
        <f>VLOOKUP(B69,'Anchor-Attendance'!$B$4:$BB$84,53,0)</f>
        <v>28</v>
      </c>
      <c r="P69" s="91">
        <v>12360</v>
      </c>
      <c r="Q69" s="92">
        <f t="shared" si="36"/>
        <v>12360</v>
      </c>
      <c r="R69" s="93">
        <f t="shared" si="37"/>
        <v>12360</v>
      </c>
      <c r="S69" s="93">
        <v>0</v>
      </c>
      <c r="T69" s="93">
        <v>0</v>
      </c>
      <c r="U69" s="93">
        <v>0</v>
      </c>
      <c r="V69" s="94">
        <f t="shared" si="18"/>
        <v>12360</v>
      </c>
      <c r="W69" s="93">
        <v>0</v>
      </c>
      <c r="X69" s="93">
        <v>0</v>
      </c>
      <c r="Y69" s="94">
        <f t="shared" si="47"/>
        <v>12360</v>
      </c>
      <c r="Z69" s="92">
        <f t="shared" si="38"/>
        <v>12360</v>
      </c>
      <c r="AA69" s="92">
        <f t="shared" si="39"/>
        <v>12360</v>
      </c>
      <c r="AB69" s="92">
        <f t="shared" si="40"/>
        <v>1483</v>
      </c>
      <c r="AC69" s="86">
        <v>0</v>
      </c>
      <c r="AD69" s="82">
        <f t="shared" si="41"/>
        <v>93</v>
      </c>
      <c r="AE69" s="93">
        <f t="shared" si="42"/>
        <v>1029</v>
      </c>
      <c r="AF69" s="93">
        <f t="shared" si="43"/>
        <v>454</v>
      </c>
      <c r="AG69" s="95">
        <f t="shared" si="44"/>
        <v>401.7</v>
      </c>
      <c r="AH69" s="92">
        <v>0</v>
      </c>
      <c r="AI69" s="92">
        <v>0</v>
      </c>
      <c r="AJ69" s="93">
        <v>0</v>
      </c>
      <c r="AK69" s="86">
        <f t="shared" si="45"/>
        <v>0</v>
      </c>
      <c r="AL69" s="96">
        <v>0</v>
      </c>
      <c r="AM69" s="93">
        <f t="shared" si="46"/>
        <v>1576</v>
      </c>
      <c r="AN69" s="93">
        <f t="shared" si="48"/>
        <v>10784</v>
      </c>
      <c r="AO69" s="97"/>
      <c r="AR69" s="99"/>
      <c r="AS69" s="99"/>
      <c r="AT69" s="100"/>
    </row>
    <row r="70" spans="1:46" x14ac:dyDescent="0.3">
      <c r="A70" s="82">
        <f t="shared" si="49"/>
        <v>68</v>
      </c>
      <c r="B70" s="83" t="s">
        <v>97</v>
      </c>
      <c r="C70" s="84">
        <v>45047</v>
      </c>
      <c r="D70" s="85"/>
      <c r="E70" s="86" t="s">
        <v>300</v>
      </c>
      <c r="F70" s="87">
        <v>50100614278619</v>
      </c>
      <c r="G70" s="86" t="s">
        <v>447</v>
      </c>
      <c r="H70" s="86" t="s">
        <v>450</v>
      </c>
      <c r="I70" s="86" t="s">
        <v>451</v>
      </c>
      <c r="J70" s="86">
        <v>5219560367</v>
      </c>
      <c r="K70" s="88">
        <v>37330</v>
      </c>
      <c r="L70" s="89" t="s">
        <v>304</v>
      </c>
      <c r="M70" s="89" t="s">
        <v>305</v>
      </c>
      <c r="N70" s="83" t="s">
        <v>306</v>
      </c>
      <c r="O70" s="90">
        <f>VLOOKUP(B70,'Anchor-Attendance'!$B$4:$BB$84,53,0)</f>
        <v>28</v>
      </c>
      <c r="P70" s="91">
        <v>12360</v>
      </c>
      <c r="Q70" s="92">
        <f t="shared" si="36"/>
        <v>12360</v>
      </c>
      <c r="R70" s="93">
        <f t="shared" si="37"/>
        <v>12360</v>
      </c>
      <c r="S70" s="93">
        <v>0</v>
      </c>
      <c r="T70" s="93">
        <v>0</v>
      </c>
      <c r="U70" s="93">
        <v>0</v>
      </c>
      <c r="V70" s="94">
        <f t="shared" si="18"/>
        <v>12360</v>
      </c>
      <c r="W70" s="93">
        <v>0</v>
      </c>
      <c r="X70" s="93">
        <v>0</v>
      </c>
      <c r="Y70" s="94">
        <f t="shared" si="47"/>
        <v>12360</v>
      </c>
      <c r="Z70" s="92">
        <f t="shared" si="38"/>
        <v>12360</v>
      </c>
      <c r="AA70" s="92">
        <f t="shared" si="39"/>
        <v>12360</v>
      </c>
      <c r="AB70" s="92">
        <f t="shared" si="40"/>
        <v>1483</v>
      </c>
      <c r="AC70" s="86">
        <v>0</v>
      </c>
      <c r="AD70" s="82">
        <f t="shared" si="41"/>
        <v>93</v>
      </c>
      <c r="AE70" s="93">
        <f t="shared" si="42"/>
        <v>1029</v>
      </c>
      <c r="AF70" s="93">
        <f t="shared" si="43"/>
        <v>454</v>
      </c>
      <c r="AG70" s="95">
        <f t="shared" si="44"/>
        <v>401.7</v>
      </c>
      <c r="AH70" s="92">
        <v>0</v>
      </c>
      <c r="AI70" s="92">
        <v>0</v>
      </c>
      <c r="AJ70" s="93">
        <v>0</v>
      </c>
      <c r="AK70" s="86">
        <f t="shared" si="45"/>
        <v>0</v>
      </c>
      <c r="AL70" s="96">
        <v>0</v>
      </c>
      <c r="AM70" s="93">
        <f t="shared" si="46"/>
        <v>1576</v>
      </c>
      <c r="AN70" s="93">
        <f t="shared" si="48"/>
        <v>10784</v>
      </c>
      <c r="AO70" s="97"/>
      <c r="AR70" s="99"/>
      <c r="AS70" s="99"/>
      <c r="AT70" s="100"/>
    </row>
    <row r="71" spans="1:46" x14ac:dyDescent="0.3">
      <c r="A71" s="82">
        <f t="shared" si="49"/>
        <v>69</v>
      </c>
      <c r="B71" s="83" t="s">
        <v>151</v>
      </c>
      <c r="C71" s="84">
        <v>45139</v>
      </c>
      <c r="D71" s="85"/>
      <c r="E71" s="86" t="s">
        <v>300</v>
      </c>
      <c r="F71" s="87">
        <v>50100643349448</v>
      </c>
      <c r="G71" s="86" t="s">
        <v>452</v>
      </c>
      <c r="H71" s="86" t="s">
        <v>453</v>
      </c>
      <c r="I71" s="86" t="s">
        <v>454</v>
      </c>
      <c r="J71" s="86">
        <v>5219933484</v>
      </c>
      <c r="K71" s="88">
        <v>37046</v>
      </c>
      <c r="L71" s="89" t="s">
        <v>304</v>
      </c>
      <c r="M71" s="89" t="s">
        <v>305</v>
      </c>
      <c r="N71" s="83" t="s">
        <v>306</v>
      </c>
      <c r="O71" s="90">
        <f>VLOOKUP(B71,'Anchor-Attendance'!$B$4:$BB$84,53,0)</f>
        <v>28</v>
      </c>
      <c r="P71" s="91">
        <v>12360</v>
      </c>
      <c r="Q71" s="92">
        <f t="shared" si="36"/>
        <v>12360</v>
      </c>
      <c r="R71" s="93">
        <f t="shared" si="37"/>
        <v>12360</v>
      </c>
      <c r="S71" s="93">
        <v>0</v>
      </c>
      <c r="T71" s="93">
        <v>0</v>
      </c>
      <c r="U71" s="93">
        <v>0</v>
      </c>
      <c r="V71" s="94">
        <f t="shared" ref="V71:V81" si="50">ROUND(SUM(R71:U71),0)</f>
        <v>12360</v>
      </c>
      <c r="W71" s="93">
        <v>0</v>
      </c>
      <c r="X71" s="93">
        <v>0</v>
      </c>
      <c r="Y71" s="94">
        <f t="shared" si="47"/>
        <v>12360</v>
      </c>
      <c r="Z71" s="92">
        <f t="shared" si="38"/>
        <v>12360</v>
      </c>
      <c r="AA71" s="92">
        <f t="shared" si="39"/>
        <v>12360</v>
      </c>
      <c r="AB71" s="92">
        <f t="shared" si="40"/>
        <v>1483</v>
      </c>
      <c r="AC71" s="86">
        <v>0</v>
      </c>
      <c r="AD71" s="82">
        <f t="shared" si="41"/>
        <v>93</v>
      </c>
      <c r="AE71" s="93">
        <f t="shared" si="42"/>
        <v>1029</v>
      </c>
      <c r="AF71" s="93">
        <f t="shared" si="43"/>
        <v>454</v>
      </c>
      <c r="AG71" s="95">
        <f t="shared" si="44"/>
        <v>401.7</v>
      </c>
      <c r="AH71" s="92">
        <v>0</v>
      </c>
      <c r="AI71" s="92">
        <v>0</v>
      </c>
      <c r="AJ71" s="93">
        <v>0</v>
      </c>
      <c r="AK71" s="86">
        <f t="shared" si="45"/>
        <v>0</v>
      </c>
      <c r="AL71" s="96">
        <v>0</v>
      </c>
      <c r="AM71" s="93">
        <f t="shared" si="46"/>
        <v>1576</v>
      </c>
      <c r="AN71" s="93">
        <f t="shared" si="48"/>
        <v>10784</v>
      </c>
      <c r="AO71" s="97"/>
      <c r="AR71" s="99"/>
      <c r="AS71" s="99"/>
      <c r="AT71" s="100"/>
    </row>
    <row r="72" spans="1:46" x14ac:dyDescent="0.3">
      <c r="A72" s="82">
        <f t="shared" si="49"/>
        <v>70</v>
      </c>
      <c r="B72" s="83" t="s">
        <v>149</v>
      </c>
      <c r="C72" s="84">
        <v>45159</v>
      </c>
      <c r="D72" s="85"/>
      <c r="E72" s="86" t="s">
        <v>300</v>
      </c>
      <c r="F72" s="87">
        <v>50100646519941</v>
      </c>
      <c r="G72" s="86" t="s">
        <v>447</v>
      </c>
      <c r="H72" s="86" t="s">
        <v>455</v>
      </c>
      <c r="I72" s="86" t="s">
        <v>456</v>
      </c>
      <c r="J72" s="86">
        <v>5219994222</v>
      </c>
      <c r="K72" s="88">
        <v>35867</v>
      </c>
      <c r="L72" s="89" t="s">
        <v>304</v>
      </c>
      <c r="M72" s="89" t="s">
        <v>305</v>
      </c>
      <c r="N72" s="83" t="s">
        <v>306</v>
      </c>
      <c r="O72" s="90">
        <f>VLOOKUP(B72,'Anchor-Attendance'!$B$4:$BB$84,53,0)</f>
        <v>28</v>
      </c>
      <c r="P72" s="91">
        <v>12360</v>
      </c>
      <c r="Q72" s="92">
        <f t="shared" si="36"/>
        <v>12360</v>
      </c>
      <c r="R72" s="93">
        <f t="shared" si="37"/>
        <v>12360</v>
      </c>
      <c r="S72" s="93">
        <v>0</v>
      </c>
      <c r="T72" s="93">
        <v>0</v>
      </c>
      <c r="U72" s="93">
        <v>0</v>
      </c>
      <c r="V72" s="94">
        <f t="shared" si="50"/>
        <v>12360</v>
      </c>
      <c r="W72" s="93">
        <v>0</v>
      </c>
      <c r="X72" s="93">
        <v>0</v>
      </c>
      <c r="Y72" s="94">
        <f t="shared" si="47"/>
        <v>12360</v>
      </c>
      <c r="Z72" s="92">
        <f t="shared" si="38"/>
        <v>12360</v>
      </c>
      <c r="AA72" s="92">
        <f t="shared" si="39"/>
        <v>12360</v>
      </c>
      <c r="AB72" s="92">
        <f t="shared" si="40"/>
        <v>1483</v>
      </c>
      <c r="AC72" s="86">
        <v>0</v>
      </c>
      <c r="AD72" s="82">
        <f t="shared" si="41"/>
        <v>93</v>
      </c>
      <c r="AE72" s="93">
        <f t="shared" si="42"/>
        <v>1029</v>
      </c>
      <c r="AF72" s="93">
        <f t="shared" si="43"/>
        <v>454</v>
      </c>
      <c r="AG72" s="95">
        <f t="shared" si="44"/>
        <v>401.7</v>
      </c>
      <c r="AH72" s="92">
        <v>0</v>
      </c>
      <c r="AI72" s="92">
        <v>0</v>
      </c>
      <c r="AJ72" s="93">
        <v>0</v>
      </c>
      <c r="AK72" s="86">
        <f t="shared" si="45"/>
        <v>0</v>
      </c>
      <c r="AL72" s="96">
        <v>0</v>
      </c>
      <c r="AM72" s="93">
        <f t="shared" si="46"/>
        <v>1576</v>
      </c>
      <c r="AN72" s="93">
        <f t="shared" si="48"/>
        <v>10784</v>
      </c>
      <c r="AO72" s="97"/>
      <c r="AR72" s="99"/>
      <c r="AS72" s="99"/>
      <c r="AT72" s="100"/>
    </row>
    <row r="73" spans="1:46" x14ac:dyDescent="0.3">
      <c r="A73" s="82">
        <f t="shared" si="49"/>
        <v>71</v>
      </c>
      <c r="B73" s="83" t="s">
        <v>145</v>
      </c>
      <c r="C73" s="84">
        <v>45159</v>
      </c>
      <c r="D73" s="85"/>
      <c r="E73" s="86" t="s">
        <v>300</v>
      </c>
      <c r="F73" s="87">
        <v>50100660357253</v>
      </c>
      <c r="G73" s="86" t="s">
        <v>457</v>
      </c>
      <c r="H73" s="86" t="s">
        <v>458</v>
      </c>
      <c r="I73" s="86" t="s">
        <v>459</v>
      </c>
      <c r="J73" s="86">
        <v>5220002041</v>
      </c>
      <c r="K73" s="88">
        <v>37594</v>
      </c>
      <c r="L73" s="89" t="s">
        <v>304</v>
      </c>
      <c r="M73" s="89" t="s">
        <v>305</v>
      </c>
      <c r="N73" s="83" t="s">
        <v>306</v>
      </c>
      <c r="O73" s="90">
        <f>VLOOKUP(B73,'Anchor-Attendance'!$B$4:$BB$84,53,0)</f>
        <v>26</v>
      </c>
      <c r="P73" s="91">
        <v>12360</v>
      </c>
      <c r="Q73" s="92">
        <f t="shared" si="36"/>
        <v>11477.142857142857</v>
      </c>
      <c r="R73" s="93">
        <f t="shared" si="37"/>
        <v>11477.142857142857</v>
      </c>
      <c r="S73" s="93">
        <v>0</v>
      </c>
      <c r="T73" s="93">
        <v>0</v>
      </c>
      <c r="U73" s="93">
        <v>0</v>
      </c>
      <c r="V73" s="94">
        <f t="shared" si="50"/>
        <v>11477</v>
      </c>
      <c r="W73" s="93">
        <v>0</v>
      </c>
      <c r="X73" s="93">
        <v>0</v>
      </c>
      <c r="Y73" s="94">
        <f t="shared" si="47"/>
        <v>11477</v>
      </c>
      <c r="Z73" s="92">
        <f t="shared" si="38"/>
        <v>11477</v>
      </c>
      <c r="AA73" s="92">
        <f t="shared" si="39"/>
        <v>11477</v>
      </c>
      <c r="AB73" s="92">
        <f t="shared" si="40"/>
        <v>1377</v>
      </c>
      <c r="AC73" s="86">
        <v>0</v>
      </c>
      <c r="AD73" s="82">
        <f t="shared" si="41"/>
        <v>87</v>
      </c>
      <c r="AE73" s="93">
        <f t="shared" si="42"/>
        <v>956</v>
      </c>
      <c r="AF73" s="93">
        <f t="shared" si="43"/>
        <v>421</v>
      </c>
      <c r="AG73" s="95">
        <f t="shared" si="44"/>
        <v>373.0025</v>
      </c>
      <c r="AH73" s="92">
        <v>0</v>
      </c>
      <c r="AI73" s="92">
        <v>0</v>
      </c>
      <c r="AJ73" s="93">
        <v>0</v>
      </c>
      <c r="AK73" s="86">
        <f t="shared" si="45"/>
        <v>0</v>
      </c>
      <c r="AL73" s="96">
        <v>0</v>
      </c>
      <c r="AM73" s="93">
        <f t="shared" si="46"/>
        <v>1464</v>
      </c>
      <c r="AN73" s="93">
        <f t="shared" si="48"/>
        <v>10013</v>
      </c>
      <c r="AO73" s="97"/>
      <c r="AR73" s="99"/>
      <c r="AS73" s="99"/>
      <c r="AT73" s="100"/>
    </row>
    <row r="74" spans="1:46" x14ac:dyDescent="0.3">
      <c r="A74" s="82">
        <f t="shared" si="49"/>
        <v>72</v>
      </c>
      <c r="B74" s="83" t="s">
        <v>147</v>
      </c>
      <c r="C74" s="84">
        <v>45159</v>
      </c>
      <c r="D74" s="85"/>
      <c r="E74" s="86" t="s">
        <v>300</v>
      </c>
      <c r="F74" s="87">
        <v>50100651126190</v>
      </c>
      <c r="G74" s="86" t="s">
        <v>363</v>
      </c>
      <c r="H74" s="86" t="s">
        <v>460</v>
      </c>
      <c r="I74" s="86" t="s">
        <v>461</v>
      </c>
      <c r="J74" s="86">
        <v>5220003707</v>
      </c>
      <c r="K74" s="88">
        <v>37057</v>
      </c>
      <c r="L74" s="89" t="s">
        <v>304</v>
      </c>
      <c r="M74" s="89" t="s">
        <v>305</v>
      </c>
      <c r="N74" s="83" t="s">
        <v>306</v>
      </c>
      <c r="O74" s="90">
        <f>VLOOKUP(B74,'Anchor-Attendance'!$B$4:$BB$84,53,0)</f>
        <v>28</v>
      </c>
      <c r="P74" s="91">
        <v>12360</v>
      </c>
      <c r="Q74" s="92">
        <f t="shared" si="36"/>
        <v>12360</v>
      </c>
      <c r="R74" s="93">
        <f t="shared" si="37"/>
        <v>12360</v>
      </c>
      <c r="S74" s="93">
        <v>0</v>
      </c>
      <c r="T74" s="93">
        <v>0</v>
      </c>
      <c r="U74" s="93">
        <v>0</v>
      </c>
      <c r="V74" s="94">
        <f t="shared" si="50"/>
        <v>12360</v>
      </c>
      <c r="W74" s="93">
        <v>0</v>
      </c>
      <c r="X74" s="93">
        <v>0</v>
      </c>
      <c r="Y74" s="94">
        <f t="shared" si="47"/>
        <v>12360</v>
      </c>
      <c r="Z74" s="92">
        <f t="shared" si="38"/>
        <v>12360</v>
      </c>
      <c r="AA74" s="92">
        <f t="shared" si="39"/>
        <v>12360</v>
      </c>
      <c r="AB74" s="92">
        <f t="shared" si="40"/>
        <v>1483</v>
      </c>
      <c r="AC74" s="86">
        <v>0</v>
      </c>
      <c r="AD74" s="82">
        <f t="shared" si="41"/>
        <v>93</v>
      </c>
      <c r="AE74" s="93">
        <f t="shared" si="42"/>
        <v>1029</v>
      </c>
      <c r="AF74" s="93">
        <f t="shared" si="43"/>
        <v>454</v>
      </c>
      <c r="AG74" s="95">
        <f t="shared" si="44"/>
        <v>401.7</v>
      </c>
      <c r="AH74" s="92">
        <v>0</v>
      </c>
      <c r="AI74" s="92">
        <v>0</v>
      </c>
      <c r="AJ74" s="93">
        <v>0</v>
      </c>
      <c r="AK74" s="86">
        <f t="shared" si="45"/>
        <v>0</v>
      </c>
      <c r="AL74" s="96">
        <v>0</v>
      </c>
      <c r="AM74" s="93">
        <f t="shared" si="46"/>
        <v>1576</v>
      </c>
      <c r="AN74" s="93">
        <f t="shared" si="48"/>
        <v>10784</v>
      </c>
      <c r="AO74" s="97"/>
      <c r="AR74" s="99"/>
      <c r="AS74" s="99"/>
      <c r="AT74" s="100"/>
    </row>
    <row r="75" spans="1:46" x14ac:dyDescent="0.3">
      <c r="A75" s="82">
        <f t="shared" si="49"/>
        <v>73</v>
      </c>
      <c r="B75" s="83" t="s">
        <v>181</v>
      </c>
      <c r="C75" s="84">
        <v>45159</v>
      </c>
      <c r="D75" s="85"/>
      <c r="E75" s="86" t="s">
        <v>300</v>
      </c>
      <c r="F75" s="87">
        <v>50100646504312</v>
      </c>
      <c r="G75" s="86" t="s">
        <v>431</v>
      </c>
      <c r="H75" s="86" t="s">
        <v>462</v>
      </c>
      <c r="I75" s="86" t="s">
        <v>463</v>
      </c>
      <c r="J75" s="86">
        <v>5220004441</v>
      </c>
      <c r="K75" s="88">
        <v>36849</v>
      </c>
      <c r="L75" s="89" t="s">
        <v>304</v>
      </c>
      <c r="M75" s="89" t="s">
        <v>305</v>
      </c>
      <c r="N75" s="83" t="s">
        <v>306</v>
      </c>
      <c r="O75" s="90">
        <f>VLOOKUP(B75,'Anchor-Attendance'!$B$4:$BB$84,53,0)</f>
        <v>28</v>
      </c>
      <c r="P75" s="91">
        <v>12360</v>
      </c>
      <c r="Q75" s="92">
        <f t="shared" si="36"/>
        <v>12360</v>
      </c>
      <c r="R75" s="93">
        <f t="shared" si="37"/>
        <v>12360</v>
      </c>
      <c r="S75" s="93">
        <v>0</v>
      </c>
      <c r="T75" s="93">
        <v>0</v>
      </c>
      <c r="U75" s="93">
        <v>0</v>
      </c>
      <c r="V75" s="94">
        <f t="shared" si="50"/>
        <v>12360</v>
      </c>
      <c r="W75" s="93">
        <v>0</v>
      </c>
      <c r="X75" s="93">
        <v>0</v>
      </c>
      <c r="Y75" s="94">
        <f t="shared" si="47"/>
        <v>12360</v>
      </c>
      <c r="Z75" s="92">
        <f t="shared" si="38"/>
        <v>12360</v>
      </c>
      <c r="AA75" s="92">
        <f t="shared" si="39"/>
        <v>12360</v>
      </c>
      <c r="AB75" s="92">
        <f t="shared" si="40"/>
        <v>1483</v>
      </c>
      <c r="AC75" s="86">
        <v>0</v>
      </c>
      <c r="AD75" s="82">
        <f t="shared" si="41"/>
        <v>93</v>
      </c>
      <c r="AE75" s="93">
        <f t="shared" si="42"/>
        <v>1029</v>
      </c>
      <c r="AF75" s="93">
        <f t="shared" si="43"/>
        <v>454</v>
      </c>
      <c r="AG75" s="95">
        <f t="shared" si="44"/>
        <v>401.7</v>
      </c>
      <c r="AH75" s="92">
        <v>0</v>
      </c>
      <c r="AI75" s="92">
        <v>0</v>
      </c>
      <c r="AJ75" s="93">
        <v>0</v>
      </c>
      <c r="AK75" s="86">
        <f t="shared" si="45"/>
        <v>0</v>
      </c>
      <c r="AL75" s="96">
        <v>0</v>
      </c>
      <c r="AM75" s="93">
        <f t="shared" si="46"/>
        <v>1576</v>
      </c>
      <c r="AN75" s="93">
        <f t="shared" si="48"/>
        <v>10784</v>
      </c>
      <c r="AO75" s="97"/>
      <c r="AR75" s="99"/>
      <c r="AS75" s="99"/>
      <c r="AT75" s="100"/>
    </row>
    <row r="76" spans="1:46" x14ac:dyDescent="0.3">
      <c r="A76" s="82">
        <f t="shared" si="49"/>
        <v>74</v>
      </c>
      <c r="B76" s="83" t="s">
        <v>99</v>
      </c>
      <c r="C76" s="84">
        <v>45159</v>
      </c>
      <c r="D76" s="85"/>
      <c r="E76" s="86" t="s">
        <v>300</v>
      </c>
      <c r="F76" s="87">
        <v>50100646504029</v>
      </c>
      <c r="G76" s="86" t="s">
        <v>431</v>
      </c>
      <c r="H76" s="86" t="s">
        <v>464</v>
      </c>
      <c r="I76" s="86" t="s">
        <v>465</v>
      </c>
      <c r="J76" s="86">
        <v>5219999187</v>
      </c>
      <c r="K76" s="88">
        <v>36661</v>
      </c>
      <c r="L76" s="89" t="s">
        <v>304</v>
      </c>
      <c r="M76" s="89" t="s">
        <v>305</v>
      </c>
      <c r="N76" s="83" t="s">
        <v>306</v>
      </c>
      <c r="O76" s="90">
        <f>VLOOKUP(B76,'Anchor-Attendance'!$B$4:$BB$84,53,0)</f>
        <v>28</v>
      </c>
      <c r="P76" s="91">
        <v>12360</v>
      </c>
      <c r="Q76" s="92">
        <f t="shared" si="36"/>
        <v>12360</v>
      </c>
      <c r="R76" s="93">
        <f t="shared" si="37"/>
        <v>12360</v>
      </c>
      <c r="S76" s="93">
        <v>0</v>
      </c>
      <c r="T76" s="93">
        <v>0</v>
      </c>
      <c r="U76" s="93">
        <v>0</v>
      </c>
      <c r="V76" s="94">
        <f t="shared" si="50"/>
        <v>12360</v>
      </c>
      <c r="W76" s="93">
        <v>0</v>
      </c>
      <c r="X76" s="93">
        <v>0</v>
      </c>
      <c r="Y76" s="94">
        <f t="shared" si="47"/>
        <v>12360</v>
      </c>
      <c r="Z76" s="92">
        <f t="shared" si="38"/>
        <v>12360</v>
      </c>
      <c r="AA76" s="92">
        <f t="shared" si="39"/>
        <v>12360</v>
      </c>
      <c r="AB76" s="92">
        <f t="shared" si="40"/>
        <v>1483</v>
      </c>
      <c r="AC76" s="86">
        <v>0</v>
      </c>
      <c r="AD76" s="82">
        <f t="shared" si="41"/>
        <v>93</v>
      </c>
      <c r="AE76" s="93">
        <f t="shared" si="42"/>
        <v>1029</v>
      </c>
      <c r="AF76" s="93">
        <f t="shared" si="43"/>
        <v>454</v>
      </c>
      <c r="AG76" s="95">
        <f t="shared" si="44"/>
        <v>401.7</v>
      </c>
      <c r="AH76" s="92">
        <v>0</v>
      </c>
      <c r="AI76" s="92">
        <v>0</v>
      </c>
      <c r="AJ76" s="93">
        <v>0</v>
      </c>
      <c r="AK76" s="86">
        <f t="shared" si="45"/>
        <v>0</v>
      </c>
      <c r="AL76" s="96">
        <v>0</v>
      </c>
      <c r="AM76" s="93">
        <f t="shared" si="46"/>
        <v>1576</v>
      </c>
      <c r="AN76" s="93">
        <f t="shared" si="48"/>
        <v>10784</v>
      </c>
      <c r="AO76" s="97"/>
      <c r="AR76" s="99"/>
      <c r="AS76" s="99"/>
      <c r="AT76" s="100"/>
    </row>
    <row r="77" spans="1:46" s="98" customFormat="1" x14ac:dyDescent="0.3">
      <c r="A77" s="118">
        <f t="shared" si="49"/>
        <v>75</v>
      </c>
      <c r="B77" s="116" t="s">
        <v>228</v>
      </c>
      <c r="C77" s="122">
        <v>45159</v>
      </c>
      <c r="D77" s="123"/>
      <c r="E77" s="124" t="s">
        <v>300</v>
      </c>
      <c r="F77" s="87">
        <v>50100524321492</v>
      </c>
      <c r="G77" s="86" t="s">
        <v>466</v>
      </c>
      <c r="H77" s="86" t="s">
        <v>467</v>
      </c>
      <c r="I77" s="86" t="s">
        <v>468</v>
      </c>
      <c r="J77" s="86">
        <v>5220010002</v>
      </c>
      <c r="K77" s="88">
        <v>37427</v>
      </c>
      <c r="L77" s="89" t="s">
        <v>304</v>
      </c>
      <c r="M77" s="125" t="s">
        <v>305</v>
      </c>
      <c r="N77" s="116">
        <f>VLOOKUP(B77,'Anchor-Attendance'!$B$4:$K$84,10,0)</f>
        <v>46072</v>
      </c>
      <c r="O77" s="126">
        <f>VLOOKUP(B77,'Anchor-Attendance'!$B$4:$BB$84,53,0)</f>
        <v>19</v>
      </c>
      <c r="P77" s="127">
        <v>12360</v>
      </c>
      <c r="Q77" s="120">
        <f t="shared" si="36"/>
        <v>8387.1428571428569</v>
      </c>
      <c r="R77" s="128">
        <f t="shared" si="37"/>
        <v>8387.1428571428569</v>
      </c>
      <c r="S77" s="128">
        <v>0</v>
      </c>
      <c r="T77" s="128">
        <v>0</v>
      </c>
      <c r="U77" s="128">
        <v>0</v>
      </c>
      <c r="V77" s="121">
        <f t="shared" si="50"/>
        <v>8387</v>
      </c>
      <c r="W77" s="128">
        <f>12360-V77</f>
        <v>3973</v>
      </c>
      <c r="X77" s="128">
        <f>AR77</f>
        <v>0</v>
      </c>
      <c r="Y77" s="121">
        <f t="shared" si="47"/>
        <v>12360</v>
      </c>
      <c r="Z77" s="120">
        <f t="shared" si="38"/>
        <v>8387</v>
      </c>
      <c r="AA77" s="120">
        <f t="shared" si="39"/>
        <v>8387</v>
      </c>
      <c r="AB77" s="120">
        <f t="shared" si="40"/>
        <v>1006</v>
      </c>
      <c r="AC77" s="124">
        <v>0</v>
      </c>
      <c r="AD77" s="118">
        <f t="shared" si="41"/>
        <v>93</v>
      </c>
      <c r="AE77" s="128">
        <f t="shared" si="42"/>
        <v>698</v>
      </c>
      <c r="AF77" s="128">
        <f t="shared" si="43"/>
        <v>308</v>
      </c>
      <c r="AG77" s="129">
        <f t="shared" si="44"/>
        <v>401.7</v>
      </c>
      <c r="AH77" s="120">
        <v>0</v>
      </c>
      <c r="AI77" s="120">
        <v>0</v>
      </c>
      <c r="AJ77" s="128">
        <v>0</v>
      </c>
      <c r="AK77" s="124">
        <f t="shared" si="45"/>
        <v>0</v>
      </c>
      <c r="AL77" s="118">
        <v>0</v>
      </c>
      <c r="AM77" s="128">
        <f t="shared" si="46"/>
        <v>1099</v>
      </c>
      <c r="AN77" s="128">
        <f t="shared" si="48"/>
        <v>11261</v>
      </c>
      <c r="AO77" s="130" t="s">
        <v>480</v>
      </c>
      <c r="AP77" s="101">
        <f>ROUND((N77-C77)/365,0)</f>
        <v>3</v>
      </c>
      <c r="AQ77" s="103"/>
      <c r="AR77" s="103"/>
      <c r="AS77" s="131"/>
      <c r="AT77" s="132"/>
    </row>
    <row r="78" spans="1:46" x14ac:dyDescent="0.3">
      <c r="A78" s="82">
        <f t="shared" si="49"/>
        <v>76</v>
      </c>
      <c r="B78" s="83" t="s">
        <v>184</v>
      </c>
      <c r="C78" s="84">
        <v>45159</v>
      </c>
      <c r="D78" s="85"/>
      <c r="E78" s="86" t="s">
        <v>300</v>
      </c>
      <c r="F78" s="87">
        <v>50100660357214</v>
      </c>
      <c r="G78" s="86" t="s">
        <v>457</v>
      </c>
      <c r="H78" s="86" t="s">
        <v>469</v>
      </c>
      <c r="I78" s="86" t="s">
        <v>470</v>
      </c>
      <c r="J78" s="86">
        <v>5219999566</v>
      </c>
      <c r="K78" s="88">
        <v>37070</v>
      </c>
      <c r="L78" s="89" t="s">
        <v>304</v>
      </c>
      <c r="M78" s="89" t="s">
        <v>305</v>
      </c>
      <c r="N78" s="83" t="s">
        <v>306</v>
      </c>
      <c r="O78" s="90">
        <f>VLOOKUP(B78,'Anchor-Attendance'!$B$4:$BB$84,53,0)</f>
        <v>28</v>
      </c>
      <c r="P78" s="91">
        <v>12360</v>
      </c>
      <c r="Q78" s="92">
        <f t="shared" si="36"/>
        <v>12360</v>
      </c>
      <c r="R78" s="93">
        <f t="shared" si="37"/>
        <v>12360</v>
      </c>
      <c r="S78" s="93">
        <v>0</v>
      </c>
      <c r="T78" s="93">
        <v>0</v>
      </c>
      <c r="U78" s="93">
        <v>0</v>
      </c>
      <c r="V78" s="94">
        <f t="shared" si="50"/>
        <v>12360</v>
      </c>
      <c r="W78" s="93">
        <v>0</v>
      </c>
      <c r="X78" s="93">
        <v>0</v>
      </c>
      <c r="Y78" s="94">
        <f t="shared" si="47"/>
        <v>12360</v>
      </c>
      <c r="Z78" s="92">
        <f t="shared" si="38"/>
        <v>12360</v>
      </c>
      <c r="AA78" s="92">
        <f t="shared" si="39"/>
        <v>12360</v>
      </c>
      <c r="AB78" s="92">
        <f t="shared" si="40"/>
        <v>1483</v>
      </c>
      <c r="AC78" s="86">
        <v>0</v>
      </c>
      <c r="AD78" s="82">
        <f t="shared" si="41"/>
        <v>93</v>
      </c>
      <c r="AE78" s="93">
        <f t="shared" si="42"/>
        <v>1029</v>
      </c>
      <c r="AF78" s="93">
        <f t="shared" si="43"/>
        <v>454</v>
      </c>
      <c r="AG78" s="95">
        <f t="shared" si="44"/>
        <v>401.7</v>
      </c>
      <c r="AH78" s="92">
        <v>0</v>
      </c>
      <c r="AI78" s="92">
        <v>0</v>
      </c>
      <c r="AJ78" s="93">
        <v>0</v>
      </c>
      <c r="AK78" s="86">
        <f t="shared" si="45"/>
        <v>0</v>
      </c>
      <c r="AL78" s="96">
        <v>0</v>
      </c>
      <c r="AM78" s="93">
        <f t="shared" si="46"/>
        <v>1576</v>
      </c>
      <c r="AN78" s="93">
        <f t="shared" si="48"/>
        <v>10784</v>
      </c>
      <c r="AO78" s="97"/>
      <c r="AR78" s="99"/>
      <c r="AS78" s="99"/>
      <c r="AT78" s="100"/>
    </row>
    <row r="79" spans="1:46" s="98" customFormat="1" x14ac:dyDescent="0.3">
      <c r="A79" s="118">
        <f t="shared" si="49"/>
        <v>77</v>
      </c>
      <c r="B79" s="116" t="s">
        <v>247</v>
      </c>
      <c r="C79" s="122">
        <v>45217</v>
      </c>
      <c r="D79" s="123"/>
      <c r="E79" s="124" t="s">
        <v>300</v>
      </c>
      <c r="F79" s="87">
        <v>50100678876851</v>
      </c>
      <c r="G79" s="86" t="s">
        <v>363</v>
      </c>
      <c r="H79" s="86" t="s">
        <v>471</v>
      </c>
      <c r="I79" s="86" t="s">
        <v>472</v>
      </c>
      <c r="J79" s="86">
        <v>5220197385</v>
      </c>
      <c r="K79" s="88">
        <v>37368</v>
      </c>
      <c r="L79" s="89" t="s">
        <v>304</v>
      </c>
      <c r="M79" s="125" t="s">
        <v>305</v>
      </c>
      <c r="N79" s="116">
        <f>VLOOKUP(B79,'Anchor-Attendance'!$B$4:$K$84,10,0)</f>
        <v>46062</v>
      </c>
      <c r="O79" s="126">
        <f>VLOOKUP(B79,'Anchor-Attendance'!$B$4:$BB$84,53,0)</f>
        <v>9</v>
      </c>
      <c r="P79" s="127">
        <v>12360</v>
      </c>
      <c r="Q79" s="120">
        <f t="shared" si="36"/>
        <v>3972.8571428571431</v>
      </c>
      <c r="R79" s="128">
        <f t="shared" si="37"/>
        <v>3972.8571428571431</v>
      </c>
      <c r="S79" s="128">
        <v>0</v>
      </c>
      <c r="T79" s="128">
        <v>0</v>
      </c>
      <c r="U79" s="128">
        <v>0</v>
      </c>
      <c r="V79" s="121">
        <f t="shared" si="50"/>
        <v>3973</v>
      </c>
      <c r="W79" s="128">
        <v>0</v>
      </c>
      <c r="X79" s="128">
        <f>AR79</f>
        <v>0</v>
      </c>
      <c r="Y79" s="121">
        <f t="shared" si="47"/>
        <v>3973</v>
      </c>
      <c r="Z79" s="120">
        <f t="shared" si="38"/>
        <v>3973</v>
      </c>
      <c r="AA79" s="120">
        <f t="shared" si="39"/>
        <v>3973</v>
      </c>
      <c r="AB79" s="120">
        <f t="shared" si="40"/>
        <v>477</v>
      </c>
      <c r="AC79" s="124">
        <v>0</v>
      </c>
      <c r="AD79" s="118">
        <f t="shared" si="41"/>
        <v>30</v>
      </c>
      <c r="AE79" s="128">
        <f t="shared" si="42"/>
        <v>331</v>
      </c>
      <c r="AF79" s="128">
        <f t="shared" si="43"/>
        <v>146</v>
      </c>
      <c r="AG79" s="129">
        <f t="shared" si="44"/>
        <v>129.1225</v>
      </c>
      <c r="AH79" s="120">
        <v>0</v>
      </c>
      <c r="AI79" s="120">
        <v>0</v>
      </c>
      <c r="AJ79" s="128">
        <v>0</v>
      </c>
      <c r="AK79" s="124">
        <f t="shared" si="45"/>
        <v>0</v>
      </c>
      <c r="AL79" s="118">
        <v>0</v>
      </c>
      <c r="AM79" s="128">
        <f t="shared" si="46"/>
        <v>507</v>
      </c>
      <c r="AN79" s="128">
        <f t="shared" si="48"/>
        <v>3466</v>
      </c>
      <c r="AO79" s="130"/>
      <c r="AP79" s="101">
        <f>ROUND((N79-C79)/365,0)</f>
        <v>2</v>
      </c>
      <c r="AQ79" s="103"/>
      <c r="AR79" s="103"/>
      <c r="AS79" s="131"/>
      <c r="AT79" s="132"/>
    </row>
    <row r="80" spans="1:46" x14ac:dyDescent="0.3">
      <c r="A80" s="82">
        <f t="shared" si="49"/>
        <v>78</v>
      </c>
      <c r="B80" s="83" t="s">
        <v>162</v>
      </c>
      <c r="C80" s="84">
        <v>45217</v>
      </c>
      <c r="D80" s="85"/>
      <c r="E80" s="86" t="s">
        <v>300</v>
      </c>
      <c r="F80" s="87">
        <v>50100678876887</v>
      </c>
      <c r="G80" s="86" t="s">
        <v>363</v>
      </c>
      <c r="H80" s="86" t="s">
        <v>473</v>
      </c>
      <c r="I80" s="86" t="s">
        <v>474</v>
      </c>
      <c r="J80" s="86">
        <v>5220197291</v>
      </c>
      <c r="K80" s="88">
        <v>36337</v>
      </c>
      <c r="L80" s="89" t="s">
        <v>304</v>
      </c>
      <c r="M80" s="89" t="s">
        <v>305</v>
      </c>
      <c r="N80" s="83" t="s">
        <v>306</v>
      </c>
      <c r="O80" s="90">
        <f>VLOOKUP(B80,'Anchor-Attendance'!$B$4:$BB$84,53,0)</f>
        <v>28</v>
      </c>
      <c r="P80" s="91">
        <v>12360</v>
      </c>
      <c r="Q80" s="92">
        <f t="shared" si="36"/>
        <v>12360</v>
      </c>
      <c r="R80" s="93">
        <f t="shared" si="37"/>
        <v>12360</v>
      </c>
      <c r="S80" s="93">
        <v>0</v>
      </c>
      <c r="T80" s="93">
        <v>0</v>
      </c>
      <c r="U80" s="93">
        <v>0</v>
      </c>
      <c r="V80" s="94">
        <f t="shared" si="50"/>
        <v>12360</v>
      </c>
      <c r="W80" s="93">
        <v>0</v>
      </c>
      <c r="X80" s="93">
        <v>0</v>
      </c>
      <c r="Y80" s="94">
        <f t="shared" si="47"/>
        <v>12360</v>
      </c>
      <c r="Z80" s="92">
        <f t="shared" si="38"/>
        <v>12360</v>
      </c>
      <c r="AA80" s="92">
        <f t="shared" si="39"/>
        <v>12360</v>
      </c>
      <c r="AB80" s="92">
        <f t="shared" si="40"/>
        <v>1483</v>
      </c>
      <c r="AC80" s="86">
        <v>0</v>
      </c>
      <c r="AD80" s="82">
        <f t="shared" si="41"/>
        <v>93</v>
      </c>
      <c r="AE80" s="93">
        <f t="shared" si="42"/>
        <v>1029</v>
      </c>
      <c r="AF80" s="93">
        <f t="shared" si="43"/>
        <v>454</v>
      </c>
      <c r="AG80" s="95">
        <f t="shared" si="44"/>
        <v>401.7</v>
      </c>
      <c r="AH80" s="92">
        <v>0</v>
      </c>
      <c r="AI80" s="92">
        <v>0</v>
      </c>
      <c r="AJ80" s="93">
        <v>0</v>
      </c>
      <c r="AK80" s="86">
        <f t="shared" si="45"/>
        <v>0</v>
      </c>
      <c r="AL80" s="96">
        <v>0</v>
      </c>
      <c r="AM80" s="93">
        <f t="shared" si="46"/>
        <v>1576</v>
      </c>
      <c r="AN80" s="93">
        <f t="shared" si="48"/>
        <v>10784</v>
      </c>
      <c r="AO80" s="97"/>
      <c r="AR80" s="99"/>
      <c r="AS80" s="99"/>
      <c r="AT80" s="100"/>
    </row>
    <row r="81" spans="1:46" s="98" customFormat="1" x14ac:dyDescent="0.3">
      <c r="A81" s="118">
        <f t="shared" si="49"/>
        <v>79</v>
      </c>
      <c r="B81" s="116" t="s">
        <v>241</v>
      </c>
      <c r="C81" s="122">
        <v>45292</v>
      </c>
      <c r="D81" s="123"/>
      <c r="E81" s="124" t="s">
        <v>300</v>
      </c>
      <c r="F81" s="87">
        <v>50100373849430</v>
      </c>
      <c r="G81" s="86" t="s">
        <v>301</v>
      </c>
      <c r="H81" s="86" t="s">
        <v>475</v>
      </c>
      <c r="I81" s="86" t="s">
        <v>476</v>
      </c>
      <c r="J81" s="86">
        <v>5216750890</v>
      </c>
      <c r="K81" s="88">
        <v>36378</v>
      </c>
      <c r="L81" s="89" t="s">
        <v>304</v>
      </c>
      <c r="M81" s="125" t="s">
        <v>305</v>
      </c>
      <c r="N81" s="116">
        <f>VLOOKUP(B81,'Anchor-Attendance'!$B$4:$K$84,10,0)</f>
        <v>46058</v>
      </c>
      <c r="O81" s="126">
        <f>VLOOKUP(B81,'Anchor-Attendance'!$B$4:$BB$84,53,0)</f>
        <v>2</v>
      </c>
      <c r="P81" s="127">
        <v>12360</v>
      </c>
      <c r="Q81" s="120">
        <f t="shared" si="36"/>
        <v>882.85714285714289</v>
      </c>
      <c r="R81" s="128">
        <f t="shared" si="37"/>
        <v>882.85714285714289</v>
      </c>
      <c r="S81" s="128">
        <v>0</v>
      </c>
      <c r="T81" s="128">
        <v>0</v>
      </c>
      <c r="U81" s="128">
        <v>0</v>
      </c>
      <c r="V81" s="121">
        <f t="shared" si="50"/>
        <v>883</v>
      </c>
      <c r="W81" s="128">
        <v>0</v>
      </c>
      <c r="X81" s="128">
        <f>AR81</f>
        <v>0</v>
      </c>
      <c r="Y81" s="121">
        <f t="shared" si="47"/>
        <v>883</v>
      </c>
      <c r="Z81" s="120">
        <f t="shared" si="38"/>
        <v>883</v>
      </c>
      <c r="AA81" s="120">
        <f t="shared" si="39"/>
        <v>883</v>
      </c>
      <c r="AB81" s="120">
        <f t="shared" si="40"/>
        <v>106</v>
      </c>
      <c r="AC81" s="124">
        <v>0</v>
      </c>
      <c r="AD81" s="118">
        <f t="shared" si="41"/>
        <v>7</v>
      </c>
      <c r="AE81" s="128">
        <f t="shared" si="42"/>
        <v>74</v>
      </c>
      <c r="AF81" s="128">
        <f t="shared" si="43"/>
        <v>32</v>
      </c>
      <c r="AG81" s="129">
        <f t="shared" si="44"/>
        <v>28.697500000000002</v>
      </c>
      <c r="AH81" s="120">
        <v>0</v>
      </c>
      <c r="AI81" s="120">
        <v>0</v>
      </c>
      <c r="AJ81" s="128">
        <v>0</v>
      </c>
      <c r="AK81" s="124">
        <f t="shared" si="45"/>
        <v>0</v>
      </c>
      <c r="AL81" s="118">
        <v>0</v>
      </c>
      <c r="AM81" s="128">
        <f t="shared" si="46"/>
        <v>113</v>
      </c>
      <c r="AN81" s="128">
        <f t="shared" si="48"/>
        <v>770</v>
      </c>
      <c r="AO81" s="130"/>
      <c r="AP81" s="101">
        <f>ROUND((N81-C81)/365,0)</f>
        <v>2</v>
      </c>
      <c r="AQ81" s="103"/>
      <c r="AR81" s="103"/>
      <c r="AS81" s="131"/>
      <c r="AT81" s="132"/>
    </row>
    <row r="82" spans="1:46" x14ac:dyDescent="0.3">
      <c r="A82" s="82">
        <f t="shared" si="49"/>
        <v>80</v>
      </c>
      <c r="B82" s="83" t="s">
        <v>200</v>
      </c>
      <c r="C82" s="84">
        <v>45748</v>
      </c>
      <c r="D82" s="85"/>
      <c r="E82" s="86" t="s">
        <v>300</v>
      </c>
      <c r="F82" s="87">
        <v>50100453957422</v>
      </c>
      <c r="G82" s="86" t="s">
        <v>301</v>
      </c>
      <c r="H82" s="86" t="s">
        <v>477</v>
      </c>
      <c r="I82" s="86" t="s">
        <v>478</v>
      </c>
      <c r="J82" s="86">
        <v>5217966593</v>
      </c>
      <c r="K82" s="88">
        <v>36778</v>
      </c>
      <c r="L82" s="89" t="s">
        <v>304</v>
      </c>
      <c r="M82" s="89" t="s">
        <v>305</v>
      </c>
      <c r="N82" s="83" t="s">
        <v>306</v>
      </c>
      <c r="O82" s="90">
        <f>VLOOKUP(B82,'Anchor-Attendance'!$B$4:$BB$84,53,0)</f>
        <v>28</v>
      </c>
      <c r="P82" s="91">
        <v>12360</v>
      </c>
      <c r="Q82" s="92">
        <f>P82/$O$1*O82</f>
        <v>12360</v>
      </c>
      <c r="R82" s="93">
        <f>Q82*100%</f>
        <v>12360</v>
      </c>
      <c r="S82" s="93">
        <v>0</v>
      </c>
      <c r="T82" s="93">
        <v>0</v>
      </c>
      <c r="U82" s="93">
        <v>0</v>
      </c>
      <c r="V82" s="94">
        <f>ROUND(SUM(R82:U82),0)</f>
        <v>12360</v>
      </c>
      <c r="W82" s="93">
        <v>0</v>
      </c>
      <c r="X82" s="93">
        <v>0</v>
      </c>
      <c r="Y82" s="94">
        <f t="shared" si="47"/>
        <v>12360</v>
      </c>
      <c r="Z82" s="92">
        <f t="shared" si="38"/>
        <v>12360</v>
      </c>
      <c r="AA82" s="92">
        <f t="shared" si="39"/>
        <v>12360</v>
      </c>
      <c r="AB82" s="92">
        <f t="shared" si="40"/>
        <v>1483</v>
      </c>
      <c r="AC82" s="86">
        <v>0</v>
      </c>
      <c r="AD82" s="82">
        <f t="shared" si="41"/>
        <v>93</v>
      </c>
      <c r="AE82" s="93">
        <f t="shared" si="42"/>
        <v>1029</v>
      </c>
      <c r="AF82" s="93">
        <f t="shared" si="43"/>
        <v>454</v>
      </c>
      <c r="AG82" s="95">
        <f t="shared" si="44"/>
        <v>401.7</v>
      </c>
      <c r="AH82" s="92">
        <v>0</v>
      </c>
      <c r="AI82" s="92">
        <v>0</v>
      </c>
      <c r="AJ82" s="93">
        <v>0</v>
      </c>
      <c r="AK82" s="86">
        <f t="shared" si="45"/>
        <v>0</v>
      </c>
      <c r="AL82" s="96">
        <v>0</v>
      </c>
      <c r="AM82" s="93">
        <f t="shared" si="46"/>
        <v>1576</v>
      </c>
      <c r="AN82" s="93">
        <f t="shared" si="48"/>
        <v>10784</v>
      </c>
      <c r="AO82" s="97"/>
      <c r="AR82" s="99"/>
      <c r="AS82" s="99"/>
      <c r="AT82" s="100"/>
    </row>
    <row r="83" spans="1:46" x14ac:dyDescent="0.3">
      <c r="A83" s="82"/>
      <c r="B83" s="83"/>
      <c r="C83" s="84"/>
      <c r="D83" s="85"/>
      <c r="E83" s="86"/>
      <c r="F83" s="87"/>
      <c r="G83" s="86"/>
      <c r="H83" s="86"/>
      <c r="I83" s="86"/>
      <c r="J83" s="86"/>
      <c r="K83" s="88"/>
      <c r="L83" s="89"/>
      <c r="M83" s="89"/>
      <c r="N83" s="83"/>
      <c r="O83" s="90"/>
      <c r="P83" s="91"/>
      <c r="Q83" s="92"/>
      <c r="R83" s="93"/>
      <c r="S83" s="93"/>
      <c r="T83" s="93"/>
      <c r="U83" s="93"/>
      <c r="V83" s="94"/>
      <c r="W83" s="93"/>
      <c r="X83" s="93"/>
      <c r="Y83" s="94"/>
      <c r="Z83" s="92"/>
      <c r="AA83" s="92"/>
      <c r="AB83" s="92"/>
      <c r="AC83" s="86"/>
      <c r="AD83" s="82"/>
      <c r="AE83" s="93"/>
      <c r="AF83" s="93"/>
      <c r="AG83" s="95"/>
      <c r="AH83" s="92"/>
      <c r="AI83" s="92"/>
      <c r="AJ83" s="93"/>
      <c r="AK83" s="86"/>
      <c r="AL83" s="86"/>
      <c r="AM83" s="93"/>
      <c r="AN83" s="93"/>
      <c r="AO83" s="107"/>
      <c r="AP83" s="101">
        <f>ROUND((N83-C83)/365,0)</f>
        <v>0</v>
      </c>
      <c r="AQ83" s="102">
        <f>P83</f>
        <v>0</v>
      </c>
      <c r="AR83" s="103">
        <f>ROUND(AQ83*15/26*AP83,0)</f>
        <v>0</v>
      </c>
    </row>
    <row r="84" spans="1:46" x14ac:dyDescent="0.3">
      <c r="A84" s="107"/>
      <c r="B84" s="107"/>
      <c r="C84" s="107"/>
      <c r="D84" s="107"/>
      <c r="E84" s="107"/>
      <c r="F84" s="108"/>
      <c r="G84" s="107"/>
      <c r="H84" s="107"/>
      <c r="I84" s="107"/>
      <c r="J84" s="107"/>
      <c r="K84" s="107"/>
      <c r="L84" s="82"/>
      <c r="M84" s="82"/>
      <c r="N84" s="107"/>
      <c r="O84" s="109"/>
      <c r="P84" s="110"/>
      <c r="Q84" s="110"/>
      <c r="R84" s="94">
        <f t="shared" ref="R84:AN84" si="51">SUM(R3:R83)</f>
        <v>884172.85714285716</v>
      </c>
      <c r="S84" s="94">
        <f t="shared" si="51"/>
        <v>5100</v>
      </c>
      <c r="T84" s="94">
        <f t="shared" si="51"/>
        <v>0</v>
      </c>
      <c r="U84" s="94">
        <f t="shared" si="51"/>
        <v>0</v>
      </c>
      <c r="V84" s="94">
        <f t="shared" si="51"/>
        <v>889272</v>
      </c>
      <c r="W84" s="94">
        <f t="shared" si="51"/>
        <v>37743</v>
      </c>
      <c r="X84" s="94">
        <f t="shared" si="51"/>
        <v>156878</v>
      </c>
      <c r="Y84" s="94">
        <f t="shared" si="51"/>
        <v>1083893</v>
      </c>
      <c r="Z84" s="94">
        <f t="shared" si="51"/>
        <v>884172</v>
      </c>
      <c r="AA84" s="94">
        <f t="shared" si="51"/>
        <v>883272</v>
      </c>
      <c r="AB84" s="94">
        <f t="shared" si="51"/>
        <v>105979</v>
      </c>
      <c r="AC84" s="94">
        <f t="shared" si="51"/>
        <v>0</v>
      </c>
      <c r="AD84" s="94">
        <f t="shared" si="51"/>
        <v>6979</v>
      </c>
      <c r="AE84" s="94">
        <f t="shared" si="51"/>
        <v>73542</v>
      </c>
      <c r="AF84" s="94">
        <f t="shared" si="51"/>
        <v>32437</v>
      </c>
      <c r="AG84" s="94">
        <f t="shared" si="51"/>
        <v>30127.987500000025</v>
      </c>
      <c r="AH84" s="94">
        <f t="shared" si="51"/>
        <v>0</v>
      </c>
      <c r="AI84" s="94">
        <f t="shared" si="51"/>
        <v>0</v>
      </c>
      <c r="AJ84" s="94">
        <f t="shared" si="51"/>
        <v>5763</v>
      </c>
      <c r="AK84" s="94">
        <f t="shared" si="51"/>
        <v>450</v>
      </c>
      <c r="AL84" s="94">
        <f t="shared" si="51"/>
        <v>0</v>
      </c>
      <c r="AM84" s="94">
        <f t="shared" si="51"/>
        <v>112958</v>
      </c>
      <c r="AN84" s="94">
        <f t="shared" si="51"/>
        <v>964722</v>
      </c>
      <c r="AO84" s="110"/>
    </row>
    <row r="85" spans="1:46" x14ac:dyDescent="0.3">
      <c r="O85" s="72"/>
      <c r="AN85" s="114"/>
    </row>
    <row r="86" spans="1:46" x14ac:dyDescent="0.3">
      <c r="AG86" s="114"/>
      <c r="AI86" s="114"/>
    </row>
    <row r="87" spans="1:46" x14ac:dyDescent="0.3">
      <c r="AB87" s="102"/>
      <c r="AC87" s="102"/>
      <c r="AE87" s="114"/>
      <c r="AF87" s="114"/>
      <c r="AM87" s="114"/>
    </row>
    <row r="88" spans="1:46" x14ac:dyDescent="0.3">
      <c r="AB88" s="102"/>
      <c r="AC88" s="102"/>
      <c r="AE88" s="114"/>
      <c r="AF88" s="114"/>
      <c r="AM88" s="114"/>
    </row>
    <row r="89" spans="1:46" x14ac:dyDescent="0.3">
      <c r="AB89" s="102"/>
      <c r="AC89" s="102"/>
      <c r="AE89" s="114"/>
      <c r="AF89" s="114"/>
      <c r="AM89" s="114"/>
    </row>
    <row r="90" spans="1:46" x14ac:dyDescent="0.3">
      <c r="AB90" s="102"/>
      <c r="AC90" s="102"/>
      <c r="AE90" s="114"/>
      <c r="AF90" s="114"/>
      <c r="AM90" s="114"/>
    </row>
    <row r="91" spans="1:46" x14ac:dyDescent="0.3">
      <c r="AB91" s="102"/>
      <c r="AC91" s="102"/>
      <c r="AE91" s="114"/>
      <c r="AF91" s="114"/>
      <c r="AM91" s="114"/>
    </row>
  </sheetData>
  <autoFilter ref="A2:AT84" xr:uid="{C9EEFB1A-17F1-45AE-944A-3C79749BB0DF}"/>
  <mergeCells count="3">
    <mergeCell ref="AB1:AD1"/>
    <mergeCell ref="AE1:AG1"/>
    <mergeCell ref="AH1:AM1"/>
  </mergeCells>
  <conditionalFormatting sqref="B1:B83">
    <cfRule type="duplicateValues" dxfId="7" priority="24"/>
    <cfRule type="duplicateValues" dxfId="6" priority="25"/>
    <cfRule type="duplicateValues" dxfId="5" priority="26"/>
    <cfRule type="duplicateValues" dxfId="4" priority="27"/>
    <cfRule type="duplicateValues" dxfId="3" priority="28"/>
  </conditionalFormatting>
  <conditionalFormatting sqref="F2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W966"/>
  <sheetViews>
    <sheetView workbookViewId="0">
      <pane xSplit="11" ySplit="2" topLeftCell="Y60" activePane="bottomRight" state="frozen"/>
      <selection pane="topRight" activeCell="L1" sqref="L1"/>
      <selection pane="bottomLeft" activeCell="A3" sqref="A3"/>
      <selection pane="bottomRight" activeCell="Y67" sqref="Y67"/>
    </sheetView>
  </sheetViews>
  <sheetFormatPr defaultColWidth="12.6328125" defaultRowHeight="15.75" customHeight="1" x14ac:dyDescent="0.3"/>
  <cols>
    <col min="1" max="1" width="8.81640625" style="17" bestFit="1" customWidth="1"/>
    <col min="2" max="2" width="10.36328125" style="17" bestFit="1" customWidth="1"/>
    <col min="3" max="3" width="17.26953125" style="17" bestFit="1" customWidth="1"/>
    <col min="4" max="4" width="20.36328125" style="17" hidden="1" customWidth="1"/>
    <col min="5" max="5" width="9.1796875" style="17" hidden="1" customWidth="1"/>
    <col min="6" max="6" width="12.453125" style="17" hidden="1" customWidth="1"/>
    <col min="7" max="7" width="10.81640625" style="17" hidden="1" customWidth="1"/>
    <col min="8" max="8" width="12.26953125" style="17" hidden="1" customWidth="1"/>
    <col min="9" max="9" width="26.54296875" style="17" hidden="1" customWidth="1"/>
    <col min="10" max="10" width="9.7265625" style="17" hidden="1" customWidth="1"/>
    <col min="11" max="11" width="12.6328125" style="17" bestFit="1" customWidth="1"/>
    <col min="12" max="20" width="6.1796875" style="17" bestFit="1" customWidth="1"/>
    <col min="21" max="39" width="7" style="17" bestFit="1" customWidth="1"/>
    <col min="40" max="40" width="14.36328125" style="17" bestFit="1" customWidth="1"/>
    <col min="41" max="41" width="16.26953125" style="17" bestFit="1" customWidth="1"/>
    <col min="42" max="42" width="13.81640625" style="17" bestFit="1" customWidth="1"/>
    <col min="43" max="43" width="14.90625" style="17" bestFit="1" customWidth="1"/>
    <col min="44" max="44" width="10.54296875" style="17" bestFit="1" customWidth="1"/>
    <col min="45" max="45" width="11.54296875" style="17" bestFit="1" customWidth="1"/>
    <col min="46" max="46" width="16.54296875" style="17" bestFit="1" customWidth="1"/>
    <col min="47" max="47" width="14.7265625" style="17" bestFit="1" customWidth="1"/>
    <col min="48" max="48" width="13.90625" style="17" bestFit="1" customWidth="1"/>
    <col min="49" max="49" width="14.54296875" style="17" bestFit="1" customWidth="1"/>
    <col min="50" max="50" width="15.1796875" style="17" bestFit="1" customWidth="1"/>
    <col min="51" max="51" width="13" style="17" bestFit="1" customWidth="1"/>
    <col min="52" max="52" width="12.453125" style="17" bestFit="1" customWidth="1"/>
    <col min="53" max="53" width="17.1796875" style="17" bestFit="1" customWidth="1"/>
    <col min="54" max="54" width="14.6328125" style="17" bestFit="1" customWidth="1"/>
    <col min="55" max="55" width="10.36328125" style="17" bestFit="1" customWidth="1"/>
    <col min="56" max="56" width="16.36328125" style="17" bestFit="1" customWidth="1"/>
    <col min="57" max="57" width="7" style="17" bestFit="1" customWidth="1"/>
    <col min="58" max="59" width="6.90625" style="17" bestFit="1" customWidth="1"/>
    <col min="60" max="60" width="7.81640625" style="17" bestFit="1" customWidth="1"/>
    <col min="61" max="61" width="16.453125" style="17" bestFit="1" customWidth="1"/>
    <col min="62" max="62" width="16.36328125" style="17" bestFit="1" customWidth="1"/>
    <col min="63" max="63" width="7" style="17" bestFit="1" customWidth="1"/>
    <col min="64" max="65" width="6.90625" style="17" bestFit="1" customWidth="1"/>
    <col min="66" max="66" width="7.81640625" style="17" bestFit="1" customWidth="1"/>
    <col min="67" max="67" width="7.90625" style="17" bestFit="1" customWidth="1"/>
    <col min="68" max="68" width="16.36328125" style="17" bestFit="1" customWidth="1"/>
    <col min="69" max="69" width="7" style="17" bestFit="1" customWidth="1"/>
    <col min="70" max="71" width="6.90625" style="17" bestFit="1" customWidth="1"/>
    <col min="72" max="72" width="7.81640625" style="17" bestFit="1" customWidth="1"/>
    <col min="73" max="73" width="16.453125" style="17" bestFit="1" customWidth="1"/>
    <col min="74" max="16384" width="12.6328125" style="17"/>
  </cols>
  <sheetData>
    <row r="1" spans="1:75" s="4" customFormat="1" ht="12" x14ac:dyDescent="0.3">
      <c r="A1" s="2" t="s">
        <v>0</v>
      </c>
      <c r="B1" s="2"/>
      <c r="C1" s="2"/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9</v>
      </c>
      <c r="T1" s="2" t="s">
        <v>10</v>
      </c>
      <c r="U1" s="2" t="s">
        <v>11</v>
      </c>
      <c r="V1" s="2" t="s">
        <v>12</v>
      </c>
      <c r="W1" s="2" t="s">
        <v>13</v>
      </c>
      <c r="X1" s="2" t="s">
        <v>14</v>
      </c>
      <c r="Y1" s="2" t="s">
        <v>15</v>
      </c>
      <c r="Z1" s="2" t="s">
        <v>9</v>
      </c>
      <c r="AA1" s="2" t="s">
        <v>10</v>
      </c>
      <c r="AB1" s="2" t="s">
        <v>11</v>
      </c>
      <c r="AC1" s="2" t="s">
        <v>12</v>
      </c>
      <c r="AD1" s="2" t="s">
        <v>13</v>
      </c>
      <c r="AE1" s="2" t="s">
        <v>14</v>
      </c>
      <c r="AF1" s="2" t="s">
        <v>15</v>
      </c>
      <c r="AG1" s="2" t="s">
        <v>9</v>
      </c>
      <c r="AH1" s="2" t="s">
        <v>10</v>
      </c>
      <c r="AI1" s="2" t="s">
        <v>11</v>
      </c>
      <c r="AJ1" s="2" t="s">
        <v>12</v>
      </c>
      <c r="AK1" s="2" t="s">
        <v>13</v>
      </c>
      <c r="AL1" s="2" t="s">
        <v>14</v>
      </c>
      <c r="AM1" s="2" t="s">
        <v>15</v>
      </c>
      <c r="AN1" s="2" t="s">
        <v>16</v>
      </c>
      <c r="AO1" s="2" t="s">
        <v>17</v>
      </c>
      <c r="AP1" s="2" t="s">
        <v>18</v>
      </c>
      <c r="AQ1" s="2" t="s">
        <v>19</v>
      </c>
      <c r="AR1" s="2" t="s">
        <v>20</v>
      </c>
      <c r="AS1" s="2" t="s">
        <v>21</v>
      </c>
      <c r="AT1" s="2" t="s">
        <v>22</v>
      </c>
      <c r="AU1" s="2" t="s">
        <v>23</v>
      </c>
      <c r="AV1" s="2" t="s">
        <v>24</v>
      </c>
      <c r="AW1" s="2" t="s">
        <v>25</v>
      </c>
      <c r="AX1" s="2" t="s">
        <v>26</v>
      </c>
      <c r="AY1" s="2" t="s">
        <v>27</v>
      </c>
      <c r="AZ1" s="2" t="s">
        <v>16</v>
      </c>
      <c r="BA1" s="3"/>
      <c r="BB1" s="2"/>
      <c r="BC1" s="2"/>
      <c r="BD1" s="143" t="s">
        <v>28</v>
      </c>
      <c r="BE1" s="144"/>
      <c r="BF1" s="144"/>
      <c r="BG1" s="144"/>
      <c r="BH1" s="144"/>
      <c r="BI1" s="145"/>
      <c r="BJ1" s="146" t="s">
        <v>29</v>
      </c>
      <c r="BK1" s="144"/>
      <c r="BL1" s="144"/>
      <c r="BM1" s="144"/>
      <c r="BN1" s="144"/>
      <c r="BO1" s="145"/>
      <c r="BP1" s="147" t="s">
        <v>30</v>
      </c>
      <c r="BQ1" s="144"/>
      <c r="BR1" s="144"/>
      <c r="BS1" s="144"/>
      <c r="BT1" s="144"/>
      <c r="BU1" s="145"/>
    </row>
    <row r="2" spans="1:75" s="4" customFormat="1" ht="24" x14ac:dyDescent="0.3">
      <c r="A2" s="2" t="s">
        <v>31</v>
      </c>
      <c r="B2" s="2" t="s">
        <v>32</v>
      </c>
      <c r="C2" s="2" t="s">
        <v>33</v>
      </c>
      <c r="D2" s="3"/>
      <c r="E2" s="3"/>
      <c r="F2" s="3"/>
      <c r="G2" s="3"/>
      <c r="H2" s="3"/>
      <c r="I2" s="3"/>
      <c r="J2" s="5"/>
      <c r="K2" s="3"/>
      <c r="L2" s="2">
        <v>1</v>
      </c>
      <c r="M2" s="2">
        <v>2</v>
      </c>
      <c r="N2" s="2">
        <v>3</v>
      </c>
      <c r="O2" s="2">
        <v>4</v>
      </c>
      <c r="P2" s="2">
        <v>5</v>
      </c>
      <c r="Q2" s="2">
        <v>6</v>
      </c>
      <c r="R2" s="2">
        <v>7</v>
      </c>
      <c r="S2" s="2">
        <v>8</v>
      </c>
      <c r="T2" s="2">
        <v>9</v>
      </c>
      <c r="U2" s="2">
        <v>10</v>
      </c>
      <c r="V2" s="2">
        <v>11</v>
      </c>
      <c r="W2" s="2">
        <v>12</v>
      </c>
      <c r="X2" s="2">
        <v>13</v>
      </c>
      <c r="Y2" s="2">
        <v>14</v>
      </c>
      <c r="Z2" s="2">
        <v>15</v>
      </c>
      <c r="AA2" s="2">
        <v>16</v>
      </c>
      <c r="AB2" s="2">
        <v>17</v>
      </c>
      <c r="AC2" s="2">
        <v>18</v>
      </c>
      <c r="AD2" s="2">
        <v>19</v>
      </c>
      <c r="AE2" s="2">
        <v>20</v>
      </c>
      <c r="AF2" s="2">
        <v>21</v>
      </c>
      <c r="AG2" s="2">
        <v>22</v>
      </c>
      <c r="AH2" s="2">
        <v>23</v>
      </c>
      <c r="AI2" s="2">
        <v>24</v>
      </c>
      <c r="AJ2" s="2">
        <v>25</v>
      </c>
      <c r="AK2" s="2">
        <v>26</v>
      </c>
      <c r="AL2" s="2">
        <v>27</v>
      </c>
      <c r="AM2" s="2">
        <v>28</v>
      </c>
      <c r="AN2" s="2" t="s">
        <v>34</v>
      </c>
      <c r="AO2" s="2" t="s">
        <v>35</v>
      </c>
      <c r="AP2" s="2" t="s">
        <v>36</v>
      </c>
      <c r="AQ2" s="2" t="s">
        <v>37</v>
      </c>
      <c r="AR2" s="2" t="s">
        <v>38</v>
      </c>
      <c r="AS2" s="2" t="s">
        <v>39</v>
      </c>
      <c r="AT2" s="2" t="s">
        <v>40</v>
      </c>
      <c r="AU2" s="2" t="s">
        <v>41</v>
      </c>
      <c r="AV2" s="2" t="s">
        <v>42</v>
      </c>
      <c r="AW2" s="2" t="s">
        <v>43</v>
      </c>
      <c r="AX2" s="2" t="s">
        <v>44</v>
      </c>
      <c r="AY2" s="2" t="s">
        <v>45</v>
      </c>
      <c r="AZ2" s="2" t="s">
        <v>46</v>
      </c>
      <c r="BA2" s="2" t="s">
        <v>47</v>
      </c>
      <c r="BB2" s="2" t="s">
        <v>48</v>
      </c>
      <c r="BC2" s="2" t="s">
        <v>49</v>
      </c>
      <c r="BD2" s="6" t="s">
        <v>50</v>
      </c>
      <c r="BE2" s="6" t="s">
        <v>51</v>
      </c>
      <c r="BF2" s="6" t="s">
        <v>52</v>
      </c>
      <c r="BG2" s="6" t="s">
        <v>53</v>
      </c>
      <c r="BH2" s="6" t="s">
        <v>21</v>
      </c>
      <c r="BI2" s="6" t="s">
        <v>54</v>
      </c>
      <c r="BJ2" s="7" t="s">
        <v>50</v>
      </c>
      <c r="BK2" s="7" t="s">
        <v>51</v>
      </c>
      <c r="BL2" s="7" t="s">
        <v>52</v>
      </c>
      <c r="BM2" s="7" t="s">
        <v>53</v>
      </c>
      <c r="BN2" s="7" t="s">
        <v>21</v>
      </c>
      <c r="BO2" s="7" t="s">
        <v>55</v>
      </c>
      <c r="BP2" s="8" t="s">
        <v>50</v>
      </c>
      <c r="BQ2" s="8" t="s">
        <v>51</v>
      </c>
      <c r="BR2" s="8" t="s">
        <v>52</v>
      </c>
      <c r="BS2" s="8" t="s">
        <v>53</v>
      </c>
      <c r="BT2" s="8" t="s">
        <v>21</v>
      </c>
      <c r="BU2" s="8" t="s">
        <v>54</v>
      </c>
      <c r="BV2" s="65" t="s">
        <v>255</v>
      </c>
      <c r="BW2" s="65" t="s">
        <v>256</v>
      </c>
    </row>
    <row r="3" spans="1:75" ht="12" x14ac:dyDescent="0.3">
      <c r="A3" s="9"/>
      <c r="B3" s="9"/>
      <c r="C3" s="9"/>
      <c r="D3" s="9"/>
      <c r="E3" s="10"/>
      <c r="F3" s="9"/>
      <c r="G3" s="9"/>
      <c r="H3" s="9"/>
      <c r="I3" s="9"/>
      <c r="J3" s="11"/>
      <c r="K3" s="12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13"/>
      <c r="BA3" s="9"/>
      <c r="BB3" s="14"/>
      <c r="BC3" s="14"/>
      <c r="BD3" s="15"/>
      <c r="BE3" s="16">
        <v>0.5</v>
      </c>
      <c r="BF3" s="16">
        <v>0.5</v>
      </c>
      <c r="BG3" s="16">
        <v>1</v>
      </c>
      <c r="BH3" s="16"/>
      <c r="BI3" s="16">
        <v>0.25</v>
      </c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</row>
    <row r="4" spans="1:75" ht="12" x14ac:dyDescent="0.3">
      <c r="A4" s="18">
        <v>1</v>
      </c>
      <c r="B4" s="18" t="s">
        <v>56</v>
      </c>
      <c r="C4" s="45"/>
      <c r="D4" s="18" t="s">
        <v>57</v>
      </c>
      <c r="E4" s="19" t="s">
        <v>58</v>
      </c>
      <c r="F4" s="18" t="s">
        <v>59</v>
      </c>
      <c r="G4" s="18" t="s">
        <v>60</v>
      </c>
      <c r="H4" s="18">
        <v>8688615667</v>
      </c>
      <c r="I4" s="18" t="s">
        <v>61</v>
      </c>
      <c r="J4" s="20">
        <v>44075</v>
      </c>
      <c r="K4" s="21"/>
      <c r="L4" s="22" t="s">
        <v>17</v>
      </c>
      <c r="M4" s="18" t="s">
        <v>62</v>
      </c>
      <c r="N4" s="18" t="s">
        <v>62</v>
      </c>
      <c r="O4" s="22" t="s">
        <v>62</v>
      </c>
      <c r="P4" s="22" t="s">
        <v>62</v>
      </c>
      <c r="Q4" s="18" t="s">
        <v>62</v>
      </c>
      <c r="R4" s="18" t="s">
        <v>62</v>
      </c>
      <c r="S4" s="22" t="s">
        <v>17</v>
      </c>
      <c r="T4" s="18" t="s">
        <v>62</v>
      </c>
      <c r="U4" s="18" t="s">
        <v>62</v>
      </c>
      <c r="V4" s="18" t="s">
        <v>62</v>
      </c>
      <c r="W4" s="18" t="s">
        <v>62</v>
      </c>
      <c r="X4" s="18" t="s">
        <v>62</v>
      </c>
      <c r="Y4" s="22" t="s">
        <v>17</v>
      </c>
      <c r="Z4" s="18" t="s">
        <v>62</v>
      </c>
      <c r="AA4" s="18" t="s">
        <v>62</v>
      </c>
      <c r="AB4" s="18" t="s">
        <v>62</v>
      </c>
      <c r="AC4" s="18" t="s">
        <v>62</v>
      </c>
      <c r="AD4" s="18" t="s">
        <v>62</v>
      </c>
      <c r="AE4" s="18" t="s">
        <v>62</v>
      </c>
      <c r="AF4" s="18" t="s">
        <v>62</v>
      </c>
      <c r="AG4" s="18" t="s">
        <v>17</v>
      </c>
      <c r="AH4" s="18" t="s">
        <v>62</v>
      </c>
      <c r="AI4" s="18" t="s">
        <v>62</v>
      </c>
      <c r="AJ4" s="18" t="s">
        <v>17</v>
      </c>
      <c r="AK4" s="18" t="s">
        <v>62</v>
      </c>
      <c r="AL4" s="18" t="s">
        <v>62</v>
      </c>
      <c r="AM4" s="18" t="s">
        <v>62</v>
      </c>
      <c r="AN4" s="18">
        <f t="shared" ref="AN4:AN84" si="0">COUNTIF(L4:AM4,"P")+COUNTIF(L4:AM4,"HFL")/2</f>
        <v>23</v>
      </c>
      <c r="AO4" s="18">
        <f t="shared" ref="AO4:AO13" si="1">COUNTIF(L4:AM4,"W/O")</f>
        <v>5</v>
      </c>
      <c r="AP4" s="18">
        <f t="shared" ref="AP4:AP13" si="2">COUNTIF(L4:AM4,"L")</f>
        <v>0</v>
      </c>
      <c r="AQ4" s="18">
        <f t="shared" ref="AQ4:AQ13" si="3">COUNTIF(L4:AM4,"HFL")/2</f>
        <v>0</v>
      </c>
      <c r="AR4" s="18">
        <f t="shared" ref="AR4:AR13" si="4">COUNTIF(L4:AM4,"H")</f>
        <v>0</v>
      </c>
      <c r="AS4" s="18">
        <f t="shared" ref="AS4:AS13" si="5">COUNTIF(L4:AM4,"MG")</f>
        <v>0</v>
      </c>
      <c r="AT4" s="18">
        <f t="shared" ref="AT4:AT13" si="6">COUNTIF(L4:AM4,"ML")</f>
        <v>0</v>
      </c>
      <c r="AU4" s="18">
        <f t="shared" ref="AU4:AU13" si="7">COUNTIF(L4:AM4,"UL")</f>
        <v>0</v>
      </c>
      <c r="AV4" s="18">
        <f t="shared" ref="AV4:AV13" si="8">COUNTIF(L4:AM4,"MC")</f>
        <v>0</v>
      </c>
      <c r="AW4" s="18">
        <f t="shared" ref="AW4:AW13" si="9">COUNTIF(L4:AM4,"BL")</f>
        <v>0</v>
      </c>
      <c r="AX4" s="18">
        <f t="shared" ref="AX4:AX13" si="10">COUNTIF(L4:AM4,"MDL")</f>
        <v>0</v>
      </c>
      <c r="AY4" s="18">
        <f t="shared" ref="AY4:AY13" si="11">COUNTIF(L4:AM4,"LOP")</f>
        <v>0</v>
      </c>
      <c r="AZ4" s="23">
        <f t="shared" ref="AZ4:AZ84" si="12">SUM(AN4:AY4)</f>
        <v>28</v>
      </c>
      <c r="BA4" s="18">
        <f t="shared" ref="BA4:BA84" si="13">SUM(AP4:AQ4,AS4:AY4,AN4)</f>
        <v>23</v>
      </c>
      <c r="BB4" s="24">
        <f t="shared" ref="BB4:BB84" si="14">AZ4-(AU4+BO4)</f>
        <v>28</v>
      </c>
      <c r="BC4" s="25">
        <f t="shared" ref="BC4:BC84" si="15">AN4/BA4</f>
        <v>1</v>
      </c>
      <c r="BD4" s="26">
        <f>VLOOKUP(B4,'Jan''26- Leave Bal'!$B$3:$D$83,3,0)</f>
        <v>0</v>
      </c>
      <c r="BE4" s="27">
        <f>VLOOKUP(B4,'Jan''26- Leave Bal'!$B$3:$E$83,4,0)+$BE$3</f>
        <v>1</v>
      </c>
      <c r="BF4" s="27">
        <f>VLOOKUP(B4,'Jan''26- Leave Bal'!$B$3:$F$83,5,0)+$BF$3</f>
        <v>2.5</v>
      </c>
      <c r="BG4" s="27">
        <f>VLOOKUP(B4,'Jan''26- Leave Bal'!$B$3:$G$83,6,0)+$BG$3</f>
        <v>13</v>
      </c>
      <c r="BH4" s="27">
        <f>VLOOKUP(B4,'Jan''26- Leave Bal'!$B$3:$H$83,7,0)</f>
        <v>15</v>
      </c>
      <c r="BI4" s="27">
        <f>VLOOKUP(B4,'Jan''26- Leave Bal'!$B$3:$I$83,8,0)+$BI$3</f>
        <v>0.75</v>
      </c>
      <c r="BJ4" s="28">
        <f t="shared" ref="BJ4:BJ84" si="16">IF((AP4+AQ4)&lt;=BD4, (AP4+AQ4),BD4)</f>
        <v>0</v>
      </c>
      <c r="BK4" s="28">
        <f t="shared" ref="BK4:BK84" si="17">IF(((AP4+AQ4)-BJ4)&gt;BE4,BE4,(AP4+AQ4)-BJ4)</f>
        <v>0</v>
      </c>
      <c r="BL4" s="28">
        <f t="shared" ref="BL4:BL84" si="18">IF((AP4+AQ4-BJ4-BK4)&gt;=BF4,BF4,(AP4+AQ4-BJ4-BK4))</f>
        <v>0</v>
      </c>
      <c r="BM4" s="28">
        <f t="shared" ref="BM4:BM84" si="19">IF((AP4+AQ4-BJ4-BK4-BL4)&gt;=BG4,BG4,(AP4+AQ4-BJ4-BK4-BL4))</f>
        <v>0</v>
      </c>
      <c r="BN4" s="28">
        <f t="shared" ref="BN4:BN84" si="20">AS4</f>
        <v>0</v>
      </c>
      <c r="BO4" s="28">
        <f t="shared" ref="BO4:BO84" si="21">AP4+AQ4-BJ4-BK4-BL4-BM4</f>
        <v>0</v>
      </c>
      <c r="BP4" s="28">
        <f t="shared" ref="BP4:BT4" si="22">BD4-BJ4</f>
        <v>0</v>
      </c>
      <c r="BQ4" s="26">
        <f t="shared" si="22"/>
        <v>1</v>
      </c>
      <c r="BR4" s="26">
        <f t="shared" si="22"/>
        <v>2.5</v>
      </c>
      <c r="BS4" s="26">
        <f t="shared" si="22"/>
        <v>13</v>
      </c>
      <c r="BT4" s="26">
        <f t="shared" si="22"/>
        <v>15</v>
      </c>
      <c r="BU4" s="26">
        <f t="shared" ref="BU4:BU84" si="23">BI4</f>
        <v>0.75</v>
      </c>
      <c r="BV4" s="17" t="s">
        <v>253</v>
      </c>
      <c r="BW4" s="17">
        <v>0</v>
      </c>
    </row>
    <row r="5" spans="1:75" ht="12" x14ac:dyDescent="0.3">
      <c r="A5" s="18">
        <v>2</v>
      </c>
      <c r="B5" s="18" t="s">
        <v>63</v>
      </c>
      <c r="C5" s="45"/>
      <c r="D5" s="18" t="s">
        <v>57</v>
      </c>
      <c r="E5" s="19" t="s">
        <v>58</v>
      </c>
      <c r="F5" s="18" t="s">
        <v>59</v>
      </c>
      <c r="G5" s="18" t="s">
        <v>60</v>
      </c>
      <c r="H5" s="18">
        <v>7995932074</v>
      </c>
      <c r="I5" s="18" t="s">
        <v>64</v>
      </c>
      <c r="J5" s="20">
        <v>44522</v>
      </c>
      <c r="K5" s="21"/>
      <c r="L5" s="22" t="s">
        <v>17</v>
      </c>
      <c r="M5" s="18" t="s">
        <v>62</v>
      </c>
      <c r="N5" s="18" t="s">
        <v>62</v>
      </c>
      <c r="O5" s="22" t="s">
        <v>62</v>
      </c>
      <c r="P5" s="22" t="s">
        <v>62</v>
      </c>
      <c r="Q5" s="18" t="s">
        <v>62</v>
      </c>
      <c r="R5" s="22" t="s">
        <v>17</v>
      </c>
      <c r="S5" s="18" t="s">
        <v>62</v>
      </c>
      <c r="T5" s="18" t="s">
        <v>62</v>
      </c>
      <c r="U5" s="18" t="s">
        <v>62</v>
      </c>
      <c r="V5" s="18" t="s">
        <v>62</v>
      </c>
      <c r="W5" s="18" t="s">
        <v>62</v>
      </c>
      <c r="X5" s="18" t="s">
        <v>62</v>
      </c>
      <c r="Y5" s="18" t="s">
        <v>62</v>
      </c>
      <c r="Z5" s="22" t="s">
        <v>17</v>
      </c>
      <c r="AA5" s="18" t="s">
        <v>62</v>
      </c>
      <c r="AB5" s="18" t="s">
        <v>62</v>
      </c>
      <c r="AC5" s="18" t="s">
        <v>62</v>
      </c>
      <c r="AD5" s="18" t="s">
        <v>62</v>
      </c>
      <c r="AE5" s="18" t="s">
        <v>62</v>
      </c>
      <c r="AF5" s="18" t="s">
        <v>17</v>
      </c>
      <c r="AG5" s="18" t="s">
        <v>62</v>
      </c>
      <c r="AH5" s="18" t="s">
        <v>62</v>
      </c>
      <c r="AI5" s="18" t="s">
        <v>62</v>
      </c>
      <c r="AJ5" s="18" t="s">
        <v>62</v>
      </c>
      <c r="AK5" s="18" t="s">
        <v>62</v>
      </c>
      <c r="AL5" s="18" t="s">
        <v>62</v>
      </c>
      <c r="AM5" s="18" t="s">
        <v>62</v>
      </c>
      <c r="AN5" s="18">
        <f t="shared" si="0"/>
        <v>24</v>
      </c>
      <c r="AO5" s="18">
        <f t="shared" si="1"/>
        <v>4</v>
      </c>
      <c r="AP5" s="18">
        <f t="shared" si="2"/>
        <v>0</v>
      </c>
      <c r="AQ5" s="18">
        <f t="shared" si="3"/>
        <v>0</v>
      </c>
      <c r="AR5" s="18">
        <f t="shared" si="4"/>
        <v>0</v>
      </c>
      <c r="AS5" s="18">
        <f t="shared" si="5"/>
        <v>0</v>
      </c>
      <c r="AT5" s="18">
        <f t="shared" si="6"/>
        <v>0</v>
      </c>
      <c r="AU5" s="18">
        <f t="shared" si="7"/>
        <v>0</v>
      </c>
      <c r="AV5" s="18">
        <f t="shared" si="8"/>
        <v>0</v>
      </c>
      <c r="AW5" s="18">
        <f t="shared" si="9"/>
        <v>0</v>
      </c>
      <c r="AX5" s="18">
        <f t="shared" si="10"/>
        <v>0</v>
      </c>
      <c r="AY5" s="18">
        <f t="shared" si="11"/>
        <v>0</v>
      </c>
      <c r="AZ5" s="23">
        <f t="shared" si="12"/>
        <v>28</v>
      </c>
      <c r="BA5" s="18">
        <f t="shared" si="13"/>
        <v>24</v>
      </c>
      <c r="BB5" s="24">
        <f t="shared" si="14"/>
        <v>28</v>
      </c>
      <c r="BC5" s="25">
        <f t="shared" si="15"/>
        <v>1</v>
      </c>
      <c r="BD5" s="26">
        <f>VLOOKUP(B5,'Jan''26- Leave Bal'!$B$3:$D$83,3,0)</f>
        <v>0</v>
      </c>
      <c r="BE5" s="27">
        <f>VLOOKUP(B5,'Jan''26- Leave Bal'!$B$3:$E$83,4,0)+$BE$3</f>
        <v>0.5</v>
      </c>
      <c r="BF5" s="27">
        <f>VLOOKUP(B5,'Jan''26- Leave Bal'!$B$3:$F$83,5,0)+$BF$3</f>
        <v>0.5</v>
      </c>
      <c r="BG5" s="27">
        <f>VLOOKUP(B5,'Jan''26- Leave Bal'!$B$3:$G$83,6,0)+$BG$3</f>
        <v>6.5</v>
      </c>
      <c r="BH5" s="27">
        <f>VLOOKUP(B5,'Jan''26- Leave Bal'!$B$3:$H$83,7,0)</f>
        <v>15</v>
      </c>
      <c r="BI5" s="27">
        <f>VLOOKUP(B5,'Jan''26- Leave Bal'!$B$3:$I$83,8,0)+$BI$3</f>
        <v>0.75</v>
      </c>
      <c r="BJ5" s="28">
        <f t="shared" si="16"/>
        <v>0</v>
      </c>
      <c r="BK5" s="28">
        <f t="shared" si="17"/>
        <v>0</v>
      </c>
      <c r="BL5" s="28">
        <f t="shared" si="18"/>
        <v>0</v>
      </c>
      <c r="BM5" s="28">
        <f t="shared" si="19"/>
        <v>0</v>
      </c>
      <c r="BN5" s="28">
        <f t="shared" si="20"/>
        <v>0</v>
      </c>
      <c r="BO5" s="28">
        <f t="shared" si="21"/>
        <v>0</v>
      </c>
      <c r="BP5" s="28">
        <f t="shared" ref="BP5:BT5" si="24">BD5-BJ5</f>
        <v>0</v>
      </c>
      <c r="BQ5" s="26">
        <f t="shared" si="24"/>
        <v>0.5</v>
      </c>
      <c r="BR5" s="26">
        <f t="shared" si="24"/>
        <v>0.5</v>
      </c>
      <c r="BS5" s="26">
        <f t="shared" si="24"/>
        <v>6.5</v>
      </c>
      <c r="BT5" s="26">
        <f t="shared" si="24"/>
        <v>15</v>
      </c>
      <c r="BU5" s="26">
        <f t="shared" si="23"/>
        <v>0.75</v>
      </c>
      <c r="BW5" s="17">
        <v>0</v>
      </c>
    </row>
    <row r="6" spans="1:75" ht="12" x14ac:dyDescent="0.3">
      <c r="A6" s="18">
        <v>3</v>
      </c>
      <c r="B6" s="18" t="s">
        <v>65</v>
      </c>
      <c r="C6" s="46"/>
      <c r="D6" s="18" t="s">
        <v>57</v>
      </c>
      <c r="E6" s="19" t="s">
        <v>58</v>
      </c>
      <c r="F6" s="18" t="s">
        <v>59</v>
      </c>
      <c r="G6" s="19" t="s">
        <v>60</v>
      </c>
      <c r="H6" s="18">
        <v>9052853216</v>
      </c>
      <c r="I6" s="18" t="s">
        <v>66</v>
      </c>
      <c r="J6" s="20">
        <v>44845</v>
      </c>
      <c r="K6" s="21"/>
      <c r="L6" s="18" t="s">
        <v>62</v>
      </c>
      <c r="M6" s="18" t="s">
        <v>62</v>
      </c>
      <c r="N6" s="18" t="s">
        <v>62</v>
      </c>
      <c r="O6" s="22" t="s">
        <v>19</v>
      </c>
      <c r="P6" s="18" t="s">
        <v>18</v>
      </c>
      <c r="Q6" s="18" t="s">
        <v>62</v>
      </c>
      <c r="R6" s="18" t="s">
        <v>62</v>
      </c>
      <c r="S6" s="22" t="s">
        <v>17</v>
      </c>
      <c r="T6" s="18" t="s">
        <v>62</v>
      </c>
      <c r="U6" s="18" t="s">
        <v>62</v>
      </c>
      <c r="V6" s="18" t="s">
        <v>62</v>
      </c>
      <c r="W6" s="18" t="s">
        <v>62</v>
      </c>
      <c r="X6" s="18" t="s">
        <v>62</v>
      </c>
      <c r="Y6" s="22" t="s">
        <v>17</v>
      </c>
      <c r="Z6" s="18" t="s">
        <v>62</v>
      </c>
      <c r="AA6" s="18" t="s">
        <v>62</v>
      </c>
      <c r="AB6" s="18" t="s">
        <v>62</v>
      </c>
      <c r="AC6" s="18" t="s">
        <v>62</v>
      </c>
      <c r="AD6" s="18" t="s">
        <v>62</v>
      </c>
      <c r="AE6" s="18" t="s">
        <v>62</v>
      </c>
      <c r="AF6" s="18" t="s">
        <v>62</v>
      </c>
      <c r="AG6" s="18" t="s">
        <v>17</v>
      </c>
      <c r="AH6" s="18" t="s">
        <v>62</v>
      </c>
      <c r="AI6" s="18" t="s">
        <v>62</v>
      </c>
      <c r="AJ6" s="18" t="s">
        <v>17</v>
      </c>
      <c r="AK6" s="18" t="s">
        <v>62</v>
      </c>
      <c r="AL6" s="18" t="s">
        <v>62</v>
      </c>
      <c r="AM6" s="18" t="s">
        <v>62</v>
      </c>
      <c r="AN6" s="18">
        <f t="shared" si="0"/>
        <v>22.5</v>
      </c>
      <c r="AO6" s="18">
        <f t="shared" si="1"/>
        <v>4</v>
      </c>
      <c r="AP6" s="18">
        <f t="shared" si="2"/>
        <v>1</v>
      </c>
      <c r="AQ6" s="18">
        <f t="shared" si="3"/>
        <v>0.5</v>
      </c>
      <c r="AR6" s="18">
        <f t="shared" si="4"/>
        <v>0</v>
      </c>
      <c r="AS6" s="18">
        <f t="shared" si="5"/>
        <v>0</v>
      </c>
      <c r="AT6" s="18">
        <f t="shared" si="6"/>
        <v>0</v>
      </c>
      <c r="AU6" s="18">
        <f t="shared" si="7"/>
        <v>0</v>
      </c>
      <c r="AV6" s="18">
        <f t="shared" si="8"/>
        <v>0</v>
      </c>
      <c r="AW6" s="18">
        <f t="shared" si="9"/>
        <v>0</v>
      </c>
      <c r="AX6" s="18">
        <f t="shared" si="10"/>
        <v>0</v>
      </c>
      <c r="AY6" s="18">
        <f t="shared" si="11"/>
        <v>0</v>
      </c>
      <c r="AZ6" s="23">
        <f t="shared" si="12"/>
        <v>28</v>
      </c>
      <c r="BA6" s="18">
        <f t="shared" si="13"/>
        <v>24</v>
      </c>
      <c r="BB6" s="24">
        <f t="shared" si="14"/>
        <v>28</v>
      </c>
      <c r="BC6" s="25">
        <f t="shared" si="15"/>
        <v>0.9375</v>
      </c>
      <c r="BD6" s="26">
        <f>VLOOKUP(B6,'Jan''26- Leave Bal'!$B$3:$D$83,3,0)</f>
        <v>0</v>
      </c>
      <c r="BE6" s="27">
        <f>VLOOKUP(B6,'Jan''26- Leave Bal'!$B$3:$E$83,4,0)+$BE$3</f>
        <v>0.5</v>
      </c>
      <c r="BF6" s="27">
        <f>VLOOKUP(B6,'Jan''26- Leave Bal'!$B$3:$F$83,5,0)+$BF$3</f>
        <v>0.5</v>
      </c>
      <c r="BG6" s="27">
        <f>VLOOKUP(B6,'Jan''26- Leave Bal'!$B$3:$G$83,6,0)+$BG$3</f>
        <v>6.5</v>
      </c>
      <c r="BH6" s="27">
        <f>VLOOKUP(B6,'Jan''26- Leave Bal'!$B$3:$H$83,7,0)</f>
        <v>15</v>
      </c>
      <c r="BI6" s="27">
        <f>VLOOKUP(B6,'Jan''26- Leave Bal'!$B$3:$I$83,8,0)+$BI$3</f>
        <v>0.75</v>
      </c>
      <c r="BJ6" s="28">
        <f t="shared" si="16"/>
        <v>0</v>
      </c>
      <c r="BK6" s="28">
        <f t="shared" si="17"/>
        <v>0.5</v>
      </c>
      <c r="BL6" s="28">
        <f t="shared" si="18"/>
        <v>0.5</v>
      </c>
      <c r="BM6" s="28">
        <f t="shared" si="19"/>
        <v>0.5</v>
      </c>
      <c r="BN6" s="28">
        <f t="shared" si="20"/>
        <v>0</v>
      </c>
      <c r="BO6" s="28">
        <f t="shared" si="21"/>
        <v>0</v>
      </c>
      <c r="BP6" s="28">
        <f t="shared" ref="BP6:BT6" si="25">BD6-BJ6</f>
        <v>0</v>
      </c>
      <c r="BQ6" s="26">
        <f t="shared" si="25"/>
        <v>0</v>
      </c>
      <c r="BR6" s="26">
        <f t="shared" si="25"/>
        <v>0</v>
      </c>
      <c r="BS6" s="26">
        <f t="shared" si="25"/>
        <v>6</v>
      </c>
      <c r="BT6" s="26">
        <f t="shared" si="25"/>
        <v>15</v>
      </c>
      <c r="BU6" s="26">
        <f t="shared" si="23"/>
        <v>0.75</v>
      </c>
      <c r="BV6" s="17" t="s">
        <v>253</v>
      </c>
      <c r="BW6" s="17" t="s">
        <v>254</v>
      </c>
    </row>
    <row r="7" spans="1:75" ht="12" x14ac:dyDescent="0.3">
      <c r="A7" s="18">
        <v>4</v>
      </c>
      <c r="B7" s="18" t="s">
        <v>67</v>
      </c>
      <c r="C7" s="45"/>
      <c r="D7" s="18" t="s">
        <v>57</v>
      </c>
      <c r="E7" s="19" t="s">
        <v>58</v>
      </c>
      <c r="F7" s="18" t="s">
        <v>59</v>
      </c>
      <c r="G7" s="18" t="s">
        <v>60</v>
      </c>
      <c r="H7" s="18">
        <v>9381993843</v>
      </c>
      <c r="I7" s="18" t="s">
        <v>68</v>
      </c>
      <c r="J7" s="20">
        <v>43983</v>
      </c>
      <c r="K7" s="21"/>
      <c r="L7" s="18" t="s">
        <v>62</v>
      </c>
      <c r="M7" s="18" t="s">
        <v>62</v>
      </c>
      <c r="N7" s="22" t="s">
        <v>17</v>
      </c>
      <c r="O7" s="22" t="s">
        <v>18</v>
      </c>
      <c r="P7" s="18" t="s">
        <v>62</v>
      </c>
      <c r="Q7" s="18" t="s">
        <v>62</v>
      </c>
      <c r="R7" s="18" t="s">
        <v>62</v>
      </c>
      <c r="S7" s="18" t="s">
        <v>62</v>
      </c>
      <c r="T7" s="18" t="s">
        <v>62</v>
      </c>
      <c r="U7" s="18" t="s">
        <v>62</v>
      </c>
      <c r="V7" s="18" t="s">
        <v>62</v>
      </c>
      <c r="W7" s="18" t="s">
        <v>62</v>
      </c>
      <c r="X7" s="22" t="s">
        <v>17</v>
      </c>
      <c r="Y7" s="18" t="s">
        <v>62</v>
      </c>
      <c r="Z7" s="18" t="s">
        <v>62</v>
      </c>
      <c r="AA7" s="18" t="s">
        <v>62</v>
      </c>
      <c r="AB7" s="18" t="s">
        <v>62</v>
      </c>
      <c r="AC7" s="22" t="s">
        <v>17</v>
      </c>
      <c r="AD7" s="18" t="s">
        <v>62</v>
      </c>
      <c r="AE7" s="18" t="s">
        <v>62</v>
      </c>
      <c r="AF7" s="18" t="s">
        <v>18</v>
      </c>
      <c r="AG7" s="18" t="s">
        <v>62</v>
      </c>
      <c r="AH7" s="18" t="s">
        <v>62</v>
      </c>
      <c r="AI7" s="18" t="s">
        <v>62</v>
      </c>
      <c r="AJ7" s="18" t="s">
        <v>62</v>
      </c>
      <c r="AK7" s="18" t="s">
        <v>62</v>
      </c>
      <c r="AL7" s="18" t="s">
        <v>62</v>
      </c>
      <c r="AM7" s="18" t="s">
        <v>62</v>
      </c>
      <c r="AN7" s="18">
        <f t="shared" si="0"/>
        <v>23</v>
      </c>
      <c r="AO7" s="18">
        <f t="shared" si="1"/>
        <v>3</v>
      </c>
      <c r="AP7" s="18">
        <f t="shared" si="2"/>
        <v>2</v>
      </c>
      <c r="AQ7" s="18">
        <f t="shared" si="3"/>
        <v>0</v>
      </c>
      <c r="AR7" s="18">
        <f t="shared" si="4"/>
        <v>0</v>
      </c>
      <c r="AS7" s="18">
        <f t="shared" si="5"/>
        <v>0</v>
      </c>
      <c r="AT7" s="18">
        <f t="shared" si="6"/>
        <v>0</v>
      </c>
      <c r="AU7" s="18">
        <f t="shared" si="7"/>
        <v>0</v>
      </c>
      <c r="AV7" s="18">
        <f t="shared" si="8"/>
        <v>0</v>
      </c>
      <c r="AW7" s="18">
        <f t="shared" si="9"/>
        <v>0</v>
      </c>
      <c r="AX7" s="18">
        <f t="shared" si="10"/>
        <v>0</v>
      </c>
      <c r="AY7" s="18">
        <f t="shared" si="11"/>
        <v>0</v>
      </c>
      <c r="AZ7" s="23">
        <f t="shared" si="12"/>
        <v>28</v>
      </c>
      <c r="BA7" s="18">
        <f t="shared" si="13"/>
        <v>25</v>
      </c>
      <c r="BB7" s="24">
        <f t="shared" si="14"/>
        <v>28</v>
      </c>
      <c r="BC7" s="25">
        <f t="shared" si="15"/>
        <v>0.92</v>
      </c>
      <c r="BD7" s="26">
        <f>VLOOKUP(B7,'Jan''26- Leave Bal'!$B$3:$D$83,3,0)</f>
        <v>0</v>
      </c>
      <c r="BE7" s="27">
        <f>VLOOKUP(B7,'Jan''26- Leave Bal'!$B$3:$E$83,4,0)+$BE$3</f>
        <v>0.5</v>
      </c>
      <c r="BF7" s="27">
        <f>VLOOKUP(B7,'Jan''26- Leave Bal'!$B$3:$F$83,5,0)+$BF$3</f>
        <v>0.5</v>
      </c>
      <c r="BG7" s="27">
        <f>VLOOKUP(B7,'Jan''26- Leave Bal'!$B$3:$G$83,6,0)+$BG$3</f>
        <v>1</v>
      </c>
      <c r="BH7" s="27">
        <f>VLOOKUP(B7,'Jan''26- Leave Bal'!$B$3:$H$83,7,0)</f>
        <v>15</v>
      </c>
      <c r="BI7" s="27">
        <f>VLOOKUP(B7,'Jan''26- Leave Bal'!$B$3:$I$83,8,0)+$BI$3</f>
        <v>0.75</v>
      </c>
      <c r="BJ7" s="28">
        <f t="shared" si="16"/>
        <v>0</v>
      </c>
      <c r="BK7" s="28">
        <f t="shared" si="17"/>
        <v>0.5</v>
      </c>
      <c r="BL7" s="28">
        <f t="shared" si="18"/>
        <v>0.5</v>
      </c>
      <c r="BM7" s="28">
        <f t="shared" si="19"/>
        <v>1</v>
      </c>
      <c r="BN7" s="28">
        <f t="shared" si="20"/>
        <v>0</v>
      </c>
      <c r="BO7" s="28">
        <f t="shared" si="21"/>
        <v>0</v>
      </c>
      <c r="BP7" s="28">
        <f t="shared" ref="BP7:BT7" si="26">BD7-BJ7</f>
        <v>0</v>
      </c>
      <c r="BQ7" s="26">
        <f t="shared" si="26"/>
        <v>0</v>
      </c>
      <c r="BR7" s="26">
        <f t="shared" si="26"/>
        <v>0</v>
      </c>
      <c r="BS7" s="26">
        <f t="shared" si="26"/>
        <v>0</v>
      </c>
      <c r="BT7" s="26">
        <f t="shared" si="26"/>
        <v>15</v>
      </c>
      <c r="BU7" s="26">
        <f t="shared" si="23"/>
        <v>0.75</v>
      </c>
      <c r="BW7" s="17" t="s">
        <v>254</v>
      </c>
    </row>
    <row r="8" spans="1:75" ht="12" x14ac:dyDescent="0.3">
      <c r="A8" s="18">
        <v>5</v>
      </c>
      <c r="B8" s="18" t="s">
        <v>69</v>
      </c>
      <c r="C8" s="45"/>
      <c r="D8" s="18" t="s">
        <v>57</v>
      </c>
      <c r="E8" s="19" t="s">
        <v>58</v>
      </c>
      <c r="F8" s="18" t="s">
        <v>59</v>
      </c>
      <c r="G8" s="19" t="s">
        <v>60</v>
      </c>
      <c r="H8" s="18">
        <v>9381626507</v>
      </c>
      <c r="I8" s="18" t="s">
        <v>70</v>
      </c>
      <c r="J8" s="29">
        <v>44326</v>
      </c>
      <c r="K8" s="30"/>
      <c r="L8" s="18" t="s">
        <v>19</v>
      </c>
      <c r="M8" s="22" t="s">
        <v>17</v>
      </c>
      <c r="N8" s="18" t="s">
        <v>62</v>
      </c>
      <c r="O8" s="18" t="s">
        <v>62</v>
      </c>
      <c r="P8" s="22" t="s">
        <v>62</v>
      </c>
      <c r="Q8" s="18" t="s">
        <v>62</v>
      </c>
      <c r="R8" s="22" t="s">
        <v>62</v>
      </c>
      <c r="S8" s="18" t="s">
        <v>62</v>
      </c>
      <c r="T8" s="18" t="s">
        <v>62</v>
      </c>
      <c r="U8" s="18" t="s">
        <v>62</v>
      </c>
      <c r="V8" s="18" t="s">
        <v>62</v>
      </c>
      <c r="W8" s="18" t="s">
        <v>62</v>
      </c>
      <c r="X8" s="18" t="s">
        <v>62</v>
      </c>
      <c r="Y8" s="18" t="s">
        <v>62</v>
      </c>
      <c r="Z8" s="22" t="s">
        <v>17</v>
      </c>
      <c r="AA8" s="18" t="s">
        <v>62</v>
      </c>
      <c r="AB8" s="18" t="s">
        <v>62</v>
      </c>
      <c r="AC8" s="18" t="s">
        <v>62</v>
      </c>
      <c r="AD8" s="18" t="s">
        <v>62</v>
      </c>
      <c r="AE8" s="18" t="s">
        <v>17</v>
      </c>
      <c r="AF8" s="18" t="s">
        <v>18</v>
      </c>
      <c r="AG8" s="18" t="s">
        <v>18</v>
      </c>
      <c r="AH8" s="18" t="s">
        <v>62</v>
      </c>
      <c r="AI8" s="18" t="s">
        <v>62</v>
      </c>
      <c r="AJ8" s="18" t="s">
        <v>62</v>
      </c>
      <c r="AK8" s="18" t="s">
        <v>62</v>
      </c>
      <c r="AL8" s="18" t="s">
        <v>62</v>
      </c>
      <c r="AM8" s="18" t="s">
        <v>62</v>
      </c>
      <c r="AN8" s="18">
        <f t="shared" si="0"/>
        <v>22.5</v>
      </c>
      <c r="AO8" s="18">
        <f t="shared" si="1"/>
        <v>3</v>
      </c>
      <c r="AP8" s="18">
        <f t="shared" si="2"/>
        <v>2</v>
      </c>
      <c r="AQ8" s="18">
        <f t="shared" si="3"/>
        <v>0.5</v>
      </c>
      <c r="AR8" s="18">
        <f t="shared" si="4"/>
        <v>0</v>
      </c>
      <c r="AS8" s="18">
        <f t="shared" si="5"/>
        <v>0</v>
      </c>
      <c r="AT8" s="18">
        <f t="shared" si="6"/>
        <v>0</v>
      </c>
      <c r="AU8" s="18">
        <f t="shared" si="7"/>
        <v>0</v>
      </c>
      <c r="AV8" s="18">
        <f t="shared" si="8"/>
        <v>0</v>
      </c>
      <c r="AW8" s="18">
        <f t="shared" si="9"/>
        <v>0</v>
      </c>
      <c r="AX8" s="18">
        <f t="shared" si="10"/>
        <v>0</v>
      </c>
      <c r="AY8" s="18">
        <f t="shared" si="11"/>
        <v>0</v>
      </c>
      <c r="AZ8" s="23">
        <f t="shared" si="12"/>
        <v>28</v>
      </c>
      <c r="BA8" s="18">
        <f t="shared" si="13"/>
        <v>25</v>
      </c>
      <c r="BB8" s="24">
        <f t="shared" si="14"/>
        <v>28</v>
      </c>
      <c r="BC8" s="25">
        <f t="shared" si="15"/>
        <v>0.9</v>
      </c>
      <c r="BD8" s="26">
        <f>VLOOKUP(B8,'Jan''26- Leave Bal'!$B$3:$D$83,3,0)</f>
        <v>0</v>
      </c>
      <c r="BE8" s="27">
        <f>VLOOKUP(B8,'Jan''26- Leave Bal'!$B$3:$E$83,4,0)+$BE$3</f>
        <v>0.5</v>
      </c>
      <c r="BF8" s="27">
        <f>VLOOKUP(B8,'Jan''26- Leave Bal'!$B$3:$F$83,5,0)+$BF$3</f>
        <v>2.5</v>
      </c>
      <c r="BG8" s="27">
        <f>VLOOKUP(B8,'Jan''26- Leave Bal'!$B$3:$G$83,6,0)+$BG$3</f>
        <v>11</v>
      </c>
      <c r="BH8" s="27">
        <f>VLOOKUP(B8,'Jan''26- Leave Bal'!$B$3:$H$83,7,0)</f>
        <v>0</v>
      </c>
      <c r="BI8" s="27">
        <f>VLOOKUP(B8,'Jan''26- Leave Bal'!$B$3:$I$83,8,0)+$BI$3</f>
        <v>0.75</v>
      </c>
      <c r="BJ8" s="28">
        <f t="shared" si="16"/>
        <v>0</v>
      </c>
      <c r="BK8" s="28">
        <f t="shared" si="17"/>
        <v>0.5</v>
      </c>
      <c r="BL8" s="28">
        <f t="shared" si="18"/>
        <v>2</v>
      </c>
      <c r="BM8" s="28">
        <f t="shared" si="19"/>
        <v>0</v>
      </c>
      <c r="BN8" s="28">
        <f t="shared" si="20"/>
        <v>0</v>
      </c>
      <c r="BO8" s="28">
        <f t="shared" si="21"/>
        <v>0</v>
      </c>
      <c r="BP8" s="28">
        <f t="shared" ref="BP8:BT8" si="27">BD8-BJ8</f>
        <v>0</v>
      </c>
      <c r="BQ8" s="26">
        <f t="shared" si="27"/>
        <v>0</v>
      </c>
      <c r="BR8" s="26">
        <f t="shared" si="27"/>
        <v>0.5</v>
      </c>
      <c r="BS8" s="26">
        <f t="shared" si="27"/>
        <v>11</v>
      </c>
      <c r="BT8" s="26">
        <f t="shared" si="27"/>
        <v>0</v>
      </c>
      <c r="BU8" s="26">
        <f t="shared" si="23"/>
        <v>0.75</v>
      </c>
      <c r="BW8" s="17" t="s">
        <v>254</v>
      </c>
    </row>
    <row r="9" spans="1:75" ht="12" x14ac:dyDescent="0.3">
      <c r="A9" s="18">
        <v>6</v>
      </c>
      <c r="B9" s="18" t="s">
        <v>71</v>
      </c>
      <c r="C9" s="45"/>
      <c r="D9" s="18" t="s">
        <v>57</v>
      </c>
      <c r="E9" s="19" t="s">
        <v>58</v>
      </c>
      <c r="F9" s="18" t="s">
        <v>59</v>
      </c>
      <c r="G9" s="18" t="s">
        <v>60</v>
      </c>
      <c r="H9" s="18" t="s">
        <v>72</v>
      </c>
      <c r="I9" s="18" t="s">
        <v>73</v>
      </c>
      <c r="J9" s="20">
        <v>44522</v>
      </c>
      <c r="K9" s="21"/>
      <c r="L9" s="22" t="s">
        <v>17</v>
      </c>
      <c r="M9" s="18" t="s">
        <v>62</v>
      </c>
      <c r="N9" s="18" t="s">
        <v>62</v>
      </c>
      <c r="O9" s="22" t="s">
        <v>62</v>
      </c>
      <c r="P9" s="22" t="s">
        <v>17</v>
      </c>
      <c r="Q9" s="18" t="s">
        <v>62</v>
      </c>
      <c r="R9" s="18" t="s">
        <v>62</v>
      </c>
      <c r="S9" s="18" t="s">
        <v>62</v>
      </c>
      <c r="T9" s="18" t="s">
        <v>62</v>
      </c>
      <c r="U9" s="18" t="s">
        <v>62</v>
      </c>
      <c r="V9" s="18" t="s">
        <v>62</v>
      </c>
      <c r="W9" s="18" t="s">
        <v>62</v>
      </c>
      <c r="X9" s="18" t="s">
        <v>62</v>
      </c>
      <c r="Y9" s="18" t="s">
        <v>62</v>
      </c>
      <c r="Z9" s="22" t="s">
        <v>17</v>
      </c>
      <c r="AA9" s="18" t="s">
        <v>62</v>
      </c>
      <c r="AB9" s="18" t="s">
        <v>62</v>
      </c>
      <c r="AC9" s="18" t="s">
        <v>18</v>
      </c>
      <c r="AD9" s="18" t="s">
        <v>62</v>
      </c>
      <c r="AE9" s="18" t="s">
        <v>17</v>
      </c>
      <c r="AF9" s="18" t="s">
        <v>62</v>
      </c>
      <c r="AG9" s="18" t="s">
        <v>62</v>
      </c>
      <c r="AH9" s="18" t="s">
        <v>62</v>
      </c>
      <c r="AI9" s="18" t="s">
        <v>62</v>
      </c>
      <c r="AJ9" s="18" t="s">
        <v>17</v>
      </c>
      <c r="AK9" s="18" t="s">
        <v>62</v>
      </c>
      <c r="AL9" s="18" t="s">
        <v>62</v>
      </c>
      <c r="AM9" s="18" t="s">
        <v>62</v>
      </c>
      <c r="AN9" s="18">
        <f t="shared" si="0"/>
        <v>22</v>
      </c>
      <c r="AO9" s="18">
        <f t="shared" si="1"/>
        <v>5</v>
      </c>
      <c r="AP9" s="18">
        <f t="shared" si="2"/>
        <v>1</v>
      </c>
      <c r="AQ9" s="18">
        <f t="shared" si="3"/>
        <v>0</v>
      </c>
      <c r="AR9" s="18">
        <f t="shared" si="4"/>
        <v>0</v>
      </c>
      <c r="AS9" s="18">
        <f t="shared" si="5"/>
        <v>0</v>
      </c>
      <c r="AT9" s="18">
        <f t="shared" si="6"/>
        <v>0</v>
      </c>
      <c r="AU9" s="18">
        <f t="shared" si="7"/>
        <v>0</v>
      </c>
      <c r="AV9" s="18">
        <f t="shared" si="8"/>
        <v>0</v>
      </c>
      <c r="AW9" s="18">
        <f t="shared" si="9"/>
        <v>0</v>
      </c>
      <c r="AX9" s="18">
        <f t="shared" si="10"/>
        <v>0</v>
      </c>
      <c r="AY9" s="18">
        <f t="shared" si="11"/>
        <v>0</v>
      </c>
      <c r="AZ9" s="23">
        <f t="shared" si="12"/>
        <v>28</v>
      </c>
      <c r="BA9" s="18">
        <f t="shared" si="13"/>
        <v>23</v>
      </c>
      <c r="BB9" s="24">
        <f t="shared" si="14"/>
        <v>28</v>
      </c>
      <c r="BC9" s="25">
        <f t="shared" si="15"/>
        <v>0.95652173913043481</v>
      </c>
      <c r="BD9" s="26">
        <f>VLOOKUP(B9,'Jan''26- Leave Bal'!$B$3:$D$83,3,0)</f>
        <v>0</v>
      </c>
      <c r="BE9" s="27">
        <f>VLOOKUP(B9,'Jan''26- Leave Bal'!$B$3:$E$83,4,0)+$BE$3</f>
        <v>0.5</v>
      </c>
      <c r="BF9" s="27">
        <f>VLOOKUP(B9,'Jan''26- Leave Bal'!$B$3:$F$83,5,0)+$BF$3</f>
        <v>0.5</v>
      </c>
      <c r="BG9" s="27">
        <f>VLOOKUP(B9,'Jan''26- Leave Bal'!$B$3:$G$83,6,0)+$BG$3</f>
        <v>5.5</v>
      </c>
      <c r="BH9" s="27">
        <f>VLOOKUP(B9,'Jan''26- Leave Bal'!$B$3:$H$83,7,0)</f>
        <v>15</v>
      </c>
      <c r="BI9" s="27">
        <f>VLOOKUP(B9,'Jan''26- Leave Bal'!$B$3:$I$83,8,0)+$BI$3</f>
        <v>0.75</v>
      </c>
      <c r="BJ9" s="28">
        <f t="shared" si="16"/>
        <v>0</v>
      </c>
      <c r="BK9" s="28">
        <f t="shared" si="17"/>
        <v>0.5</v>
      </c>
      <c r="BL9" s="28">
        <f t="shared" si="18"/>
        <v>0.5</v>
      </c>
      <c r="BM9" s="28">
        <f t="shared" si="19"/>
        <v>0</v>
      </c>
      <c r="BN9" s="28">
        <f t="shared" si="20"/>
        <v>0</v>
      </c>
      <c r="BO9" s="28">
        <f t="shared" si="21"/>
        <v>0</v>
      </c>
      <c r="BP9" s="28">
        <f t="shared" ref="BP9:BT9" si="28">BD9-BJ9</f>
        <v>0</v>
      </c>
      <c r="BQ9" s="26">
        <f t="shared" si="28"/>
        <v>0</v>
      </c>
      <c r="BR9" s="26">
        <f t="shared" si="28"/>
        <v>0</v>
      </c>
      <c r="BS9" s="26">
        <f t="shared" si="28"/>
        <v>5.5</v>
      </c>
      <c r="BT9" s="26">
        <f t="shared" si="28"/>
        <v>15</v>
      </c>
      <c r="BU9" s="26">
        <f t="shared" si="23"/>
        <v>0.75</v>
      </c>
      <c r="BV9" s="17" t="s">
        <v>253</v>
      </c>
      <c r="BW9" s="17">
        <v>0</v>
      </c>
    </row>
    <row r="10" spans="1:75" ht="12" x14ac:dyDescent="0.3">
      <c r="A10" s="18">
        <v>7</v>
      </c>
      <c r="B10" s="18" t="s">
        <v>74</v>
      </c>
      <c r="C10" s="45"/>
      <c r="D10" s="18" t="s">
        <v>57</v>
      </c>
      <c r="E10" s="19" t="s">
        <v>58</v>
      </c>
      <c r="F10" s="18" t="s">
        <v>59</v>
      </c>
      <c r="G10" s="18" t="s">
        <v>60</v>
      </c>
      <c r="H10" s="18">
        <v>9014106905</v>
      </c>
      <c r="I10" s="18" t="s">
        <v>75</v>
      </c>
      <c r="J10" s="29">
        <v>44326</v>
      </c>
      <c r="K10" s="30"/>
      <c r="L10" s="18" t="s">
        <v>62</v>
      </c>
      <c r="M10" s="18" t="s">
        <v>62</v>
      </c>
      <c r="N10" s="18" t="s">
        <v>62</v>
      </c>
      <c r="O10" s="18" t="s">
        <v>62</v>
      </c>
      <c r="P10" s="22" t="s">
        <v>62</v>
      </c>
      <c r="Q10" s="18" t="s">
        <v>62</v>
      </c>
      <c r="R10" s="22" t="s">
        <v>62</v>
      </c>
      <c r="S10" s="22" t="s">
        <v>17</v>
      </c>
      <c r="T10" s="18" t="s">
        <v>62</v>
      </c>
      <c r="U10" s="18" t="s">
        <v>18</v>
      </c>
      <c r="V10" s="22" t="s">
        <v>17</v>
      </c>
      <c r="W10" s="18" t="s">
        <v>18</v>
      </c>
      <c r="X10" s="18" t="s">
        <v>62</v>
      </c>
      <c r="Y10" s="18" t="s">
        <v>62</v>
      </c>
      <c r="Z10" s="18" t="s">
        <v>62</v>
      </c>
      <c r="AA10" s="18" t="s">
        <v>62</v>
      </c>
      <c r="AB10" s="18" t="s">
        <v>62</v>
      </c>
      <c r="AC10" s="18" t="s">
        <v>62</v>
      </c>
      <c r="AD10" s="18" t="s">
        <v>62</v>
      </c>
      <c r="AE10" s="18" t="s">
        <v>62</v>
      </c>
      <c r="AF10" s="18" t="s">
        <v>62</v>
      </c>
      <c r="AG10" s="18" t="s">
        <v>17</v>
      </c>
      <c r="AH10" s="18" t="s">
        <v>62</v>
      </c>
      <c r="AI10" s="18" t="s">
        <v>62</v>
      </c>
      <c r="AJ10" s="18" t="s">
        <v>62</v>
      </c>
      <c r="AK10" s="18" t="s">
        <v>62</v>
      </c>
      <c r="AL10" s="18" t="s">
        <v>62</v>
      </c>
      <c r="AM10" s="18" t="s">
        <v>62</v>
      </c>
      <c r="AN10" s="18">
        <f t="shared" si="0"/>
        <v>23</v>
      </c>
      <c r="AO10" s="18">
        <f t="shared" si="1"/>
        <v>3</v>
      </c>
      <c r="AP10" s="18">
        <f t="shared" si="2"/>
        <v>2</v>
      </c>
      <c r="AQ10" s="18">
        <f t="shared" si="3"/>
        <v>0</v>
      </c>
      <c r="AR10" s="18">
        <f t="shared" si="4"/>
        <v>0</v>
      </c>
      <c r="AS10" s="18">
        <f t="shared" si="5"/>
        <v>0</v>
      </c>
      <c r="AT10" s="18">
        <f t="shared" si="6"/>
        <v>0</v>
      </c>
      <c r="AU10" s="18">
        <f t="shared" si="7"/>
        <v>0</v>
      </c>
      <c r="AV10" s="18">
        <f t="shared" si="8"/>
        <v>0</v>
      </c>
      <c r="AW10" s="18">
        <f t="shared" si="9"/>
        <v>0</v>
      </c>
      <c r="AX10" s="18">
        <f t="shared" si="10"/>
        <v>0</v>
      </c>
      <c r="AY10" s="18">
        <f t="shared" si="11"/>
        <v>0</v>
      </c>
      <c r="AZ10" s="23">
        <f t="shared" si="12"/>
        <v>28</v>
      </c>
      <c r="BA10" s="18">
        <f t="shared" si="13"/>
        <v>25</v>
      </c>
      <c r="BB10" s="24">
        <f t="shared" si="14"/>
        <v>28</v>
      </c>
      <c r="BC10" s="25">
        <f t="shared" si="15"/>
        <v>0.92</v>
      </c>
      <c r="BD10" s="26">
        <f>VLOOKUP(B10,'Jan''26- Leave Bal'!$B$3:$D$83,3,0)</f>
        <v>0</v>
      </c>
      <c r="BE10" s="27">
        <f>VLOOKUP(B10,'Jan''26- Leave Bal'!$B$3:$E$83,4,0)+$BE$3</f>
        <v>0.5</v>
      </c>
      <c r="BF10" s="27">
        <f>VLOOKUP(B10,'Jan''26- Leave Bal'!$B$3:$F$83,5,0)+$BF$3</f>
        <v>2</v>
      </c>
      <c r="BG10" s="27">
        <f>VLOOKUP(B10,'Jan''26- Leave Bal'!$B$3:$G$83,6,0)+$BG$3</f>
        <v>13</v>
      </c>
      <c r="BH10" s="27">
        <f>VLOOKUP(B10,'Jan''26- Leave Bal'!$B$3:$H$83,7,0)</f>
        <v>15</v>
      </c>
      <c r="BI10" s="27">
        <f>VLOOKUP(B10,'Jan''26- Leave Bal'!$B$3:$I$83,8,0)+$BI$3</f>
        <v>0.75</v>
      </c>
      <c r="BJ10" s="28">
        <f t="shared" si="16"/>
        <v>0</v>
      </c>
      <c r="BK10" s="28">
        <f t="shared" si="17"/>
        <v>0.5</v>
      </c>
      <c r="BL10" s="28">
        <f t="shared" si="18"/>
        <v>1.5</v>
      </c>
      <c r="BM10" s="28">
        <f t="shared" si="19"/>
        <v>0</v>
      </c>
      <c r="BN10" s="28">
        <f t="shared" si="20"/>
        <v>0</v>
      </c>
      <c r="BO10" s="28">
        <f t="shared" si="21"/>
        <v>0</v>
      </c>
      <c r="BP10" s="28">
        <f t="shared" ref="BP10:BT10" si="29">BD10-BJ10</f>
        <v>0</v>
      </c>
      <c r="BQ10" s="26">
        <f t="shared" si="29"/>
        <v>0</v>
      </c>
      <c r="BR10" s="26">
        <f t="shared" si="29"/>
        <v>0.5</v>
      </c>
      <c r="BS10" s="26">
        <f t="shared" si="29"/>
        <v>13</v>
      </c>
      <c r="BT10" s="26">
        <f t="shared" si="29"/>
        <v>15</v>
      </c>
      <c r="BU10" s="26">
        <f t="shared" si="23"/>
        <v>0.75</v>
      </c>
      <c r="BW10" s="17" t="s">
        <v>254</v>
      </c>
    </row>
    <row r="11" spans="1:75" ht="12" x14ac:dyDescent="0.3">
      <c r="A11" s="18">
        <v>8</v>
      </c>
      <c r="B11" s="18" t="s">
        <v>76</v>
      </c>
      <c r="C11" s="45"/>
      <c r="D11" s="18" t="s">
        <v>57</v>
      </c>
      <c r="E11" s="19" t="s">
        <v>58</v>
      </c>
      <c r="F11" s="18" t="s">
        <v>59</v>
      </c>
      <c r="G11" s="18" t="s">
        <v>77</v>
      </c>
      <c r="H11" s="18">
        <v>9032615583</v>
      </c>
      <c r="I11" s="18" t="s">
        <v>78</v>
      </c>
      <c r="J11" s="20">
        <v>44845</v>
      </c>
      <c r="K11" s="21"/>
      <c r="L11" s="22" t="s">
        <v>17</v>
      </c>
      <c r="M11" s="18" t="s">
        <v>62</v>
      </c>
      <c r="N11" s="18" t="s">
        <v>62</v>
      </c>
      <c r="O11" s="22" t="s">
        <v>62</v>
      </c>
      <c r="P11" s="18" t="s">
        <v>62</v>
      </c>
      <c r="Q11" s="18" t="s">
        <v>62</v>
      </c>
      <c r="R11" s="18" t="s">
        <v>62</v>
      </c>
      <c r="S11" s="22" t="s">
        <v>17</v>
      </c>
      <c r="T11" s="22" t="s">
        <v>17</v>
      </c>
      <c r="U11" s="18" t="s">
        <v>62</v>
      </c>
      <c r="V11" s="22" t="s">
        <v>62</v>
      </c>
      <c r="W11" s="18" t="s">
        <v>62</v>
      </c>
      <c r="X11" s="18" t="s">
        <v>62</v>
      </c>
      <c r="Y11" s="18" t="s">
        <v>62</v>
      </c>
      <c r="Z11" s="18" t="s">
        <v>62</v>
      </c>
      <c r="AA11" s="18" t="s">
        <v>62</v>
      </c>
      <c r="AB11" s="18" t="s">
        <v>62</v>
      </c>
      <c r="AC11" s="18" t="s">
        <v>62</v>
      </c>
      <c r="AD11" s="18" t="s">
        <v>62</v>
      </c>
      <c r="AE11" s="18" t="s">
        <v>62</v>
      </c>
      <c r="AF11" s="18" t="s">
        <v>62</v>
      </c>
      <c r="AG11" s="18" t="s">
        <v>17</v>
      </c>
      <c r="AH11" s="18" t="s">
        <v>62</v>
      </c>
      <c r="AI11" s="18" t="s">
        <v>62</v>
      </c>
      <c r="AJ11" s="18" t="s">
        <v>62</v>
      </c>
      <c r="AK11" s="18" t="s">
        <v>62</v>
      </c>
      <c r="AL11" s="18" t="s">
        <v>62</v>
      </c>
      <c r="AM11" s="18" t="s">
        <v>62</v>
      </c>
      <c r="AN11" s="18">
        <f t="shared" si="0"/>
        <v>24</v>
      </c>
      <c r="AO11" s="18">
        <f t="shared" si="1"/>
        <v>4</v>
      </c>
      <c r="AP11" s="18">
        <f t="shared" si="2"/>
        <v>0</v>
      </c>
      <c r="AQ11" s="18">
        <f t="shared" si="3"/>
        <v>0</v>
      </c>
      <c r="AR11" s="18">
        <f t="shared" si="4"/>
        <v>0</v>
      </c>
      <c r="AS11" s="18">
        <f t="shared" si="5"/>
        <v>0</v>
      </c>
      <c r="AT11" s="18">
        <f t="shared" si="6"/>
        <v>0</v>
      </c>
      <c r="AU11" s="18">
        <f t="shared" si="7"/>
        <v>0</v>
      </c>
      <c r="AV11" s="18">
        <f t="shared" si="8"/>
        <v>0</v>
      </c>
      <c r="AW11" s="18">
        <f t="shared" si="9"/>
        <v>0</v>
      </c>
      <c r="AX11" s="18">
        <f t="shared" si="10"/>
        <v>0</v>
      </c>
      <c r="AY11" s="18">
        <f t="shared" si="11"/>
        <v>0</v>
      </c>
      <c r="AZ11" s="23">
        <f t="shared" si="12"/>
        <v>28</v>
      </c>
      <c r="BA11" s="18">
        <f t="shared" si="13"/>
        <v>24</v>
      </c>
      <c r="BB11" s="24">
        <f t="shared" si="14"/>
        <v>28</v>
      </c>
      <c r="BC11" s="25">
        <f t="shared" si="15"/>
        <v>1</v>
      </c>
      <c r="BD11" s="26">
        <f>VLOOKUP(B11,'Jan''26- Leave Bal'!$B$3:$D$83,3,0)</f>
        <v>0</v>
      </c>
      <c r="BE11" s="27">
        <f>VLOOKUP(B11,'Jan''26- Leave Bal'!$B$3:$E$83,4,0)+$BE$3</f>
        <v>1</v>
      </c>
      <c r="BF11" s="27">
        <f>VLOOKUP(B11,'Jan''26- Leave Bal'!$B$3:$F$83,5,0)+$BF$3</f>
        <v>1.5</v>
      </c>
      <c r="BG11" s="27">
        <f>VLOOKUP(B11,'Jan''26- Leave Bal'!$B$3:$G$83,6,0)+$BG$3</f>
        <v>9.3000000000000007</v>
      </c>
      <c r="BH11" s="27">
        <f>VLOOKUP(B11,'Jan''26- Leave Bal'!$B$3:$H$83,7,0)</f>
        <v>15</v>
      </c>
      <c r="BI11" s="27">
        <f>VLOOKUP(B11,'Jan''26- Leave Bal'!$B$3:$I$83,8,0)+$BI$3</f>
        <v>0.75</v>
      </c>
      <c r="BJ11" s="28">
        <f t="shared" si="16"/>
        <v>0</v>
      </c>
      <c r="BK11" s="28">
        <f t="shared" si="17"/>
        <v>0</v>
      </c>
      <c r="BL11" s="28">
        <f t="shared" si="18"/>
        <v>0</v>
      </c>
      <c r="BM11" s="28">
        <f t="shared" si="19"/>
        <v>0</v>
      </c>
      <c r="BN11" s="28">
        <f t="shared" si="20"/>
        <v>0</v>
      </c>
      <c r="BO11" s="28">
        <f t="shared" si="21"/>
        <v>0</v>
      </c>
      <c r="BP11" s="28">
        <f t="shared" ref="BP11:BT11" si="30">BD11-BJ11</f>
        <v>0</v>
      </c>
      <c r="BQ11" s="26">
        <f t="shared" si="30"/>
        <v>1</v>
      </c>
      <c r="BR11" s="26">
        <f t="shared" si="30"/>
        <v>1.5</v>
      </c>
      <c r="BS11" s="26">
        <f t="shared" si="30"/>
        <v>9.3000000000000007</v>
      </c>
      <c r="BT11" s="26">
        <f t="shared" si="30"/>
        <v>15</v>
      </c>
      <c r="BU11" s="26">
        <f t="shared" si="23"/>
        <v>0.75</v>
      </c>
      <c r="BW11" s="17">
        <v>0</v>
      </c>
    </row>
    <row r="12" spans="1:75" ht="12" x14ac:dyDescent="0.3">
      <c r="A12" s="18">
        <v>9</v>
      </c>
      <c r="B12" s="18" t="s">
        <v>79</v>
      </c>
      <c r="C12" s="45"/>
      <c r="D12" s="18" t="s">
        <v>57</v>
      </c>
      <c r="E12" s="19" t="s">
        <v>58</v>
      </c>
      <c r="F12" s="18" t="s">
        <v>59</v>
      </c>
      <c r="G12" s="19" t="s">
        <v>77</v>
      </c>
      <c r="H12" s="18">
        <v>9573067930</v>
      </c>
      <c r="I12" s="18" t="s">
        <v>80</v>
      </c>
      <c r="J12" s="31">
        <v>45086</v>
      </c>
      <c r="K12" s="32"/>
      <c r="L12" s="22" t="s">
        <v>17</v>
      </c>
      <c r="M12" s="18" t="s">
        <v>62</v>
      </c>
      <c r="N12" s="18" t="s">
        <v>62</v>
      </c>
      <c r="O12" s="22" t="s">
        <v>18</v>
      </c>
      <c r="P12" s="18" t="s">
        <v>62</v>
      </c>
      <c r="Q12" s="22" t="s">
        <v>18</v>
      </c>
      <c r="R12" s="22" t="s">
        <v>17</v>
      </c>
      <c r="S12" s="18" t="s">
        <v>62</v>
      </c>
      <c r="T12" s="22" t="s">
        <v>18</v>
      </c>
      <c r="U12" s="22" t="s">
        <v>18</v>
      </c>
      <c r="V12" s="18" t="s">
        <v>62</v>
      </c>
      <c r="W12" s="18" t="s">
        <v>62</v>
      </c>
      <c r="X12" s="22" t="s">
        <v>18</v>
      </c>
      <c r="Y12" s="18" t="s">
        <v>62</v>
      </c>
      <c r="Z12" s="22" t="s">
        <v>17</v>
      </c>
      <c r="AA12" s="18" t="s">
        <v>18</v>
      </c>
      <c r="AB12" s="22" t="s">
        <v>18</v>
      </c>
      <c r="AC12" s="18" t="s">
        <v>62</v>
      </c>
      <c r="AD12" s="18" t="s">
        <v>62</v>
      </c>
      <c r="AE12" s="18" t="s">
        <v>62</v>
      </c>
      <c r="AF12" s="18" t="s">
        <v>18</v>
      </c>
      <c r="AG12" s="18" t="s">
        <v>17</v>
      </c>
      <c r="AH12" s="18" t="s">
        <v>62</v>
      </c>
      <c r="AI12" s="18" t="s">
        <v>62</v>
      </c>
      <c r="AJ12" s="18" t="s">
        <v>62</v>
      </c>
      <c r="AK12" s="18" t="s">
        <v>62</v>
      </c>
      <c r="AL12" s="18" t="s">
        <v>62</v>
      </c>
      <c r="AM12" s="18" t="s">
        <v>17</v>
      </c>
      <c r="AN12" s="18">
        <f t="shared" si="0"/>
        <v>15</v>
      </c>
      <c r="AO12" s="18">
        <f t="shared" si="1"/>
        <v>5</v>
      </c>
      <c r="AP12" s="18">
        <f t="shared" si="2"/>
        <v>8</v>
      </c>
      <c r="AQ12" s="18">
        <f t="shared" si="3"/>
        <v>0</v>
      </c>
      <c r="AR12" s="18">
        <f t="shared" si="4"/>
        <v>0</v>
      </c>
      <c r="AS12" s="18">
        <f t="shared" si="5"/>
        <v>0</v>
      </c>
      <c r="AT12" s="18">
        <f t="shared" si="6"/>
        <v>0</v>
      </c>
      <c r="AU12" s="18">
        <f t="shared" si="7"/>
        <v>0</v>
      </c>
      <c r="AV12" s="18">
        <f t="shared" si="8"/>
        <v>0</v>
      </c>
      <c r="AW12" s="18">
        <f t="shared" si="9"/>
        <v>0</v>
      </c>
      <c r="AX12" s="18">
        <f t="shared" si="10"/>
        <v>0</v>
      </c>
      <c r="AY12" s="18">
        <f t="shared" si="11"/>
        <v>0</v>
      </c>
      <c r="AZ12" s="23">
        <f t="shared" si="12"/>
        <v>28</v>
      </c>
      <c r="BA12" s="18">
        <f t="shared" si="13"/>
        <v>23</v>
      </c>
      <c r="BB12" s="24">
        <f t="shared" si="14"/>
        <v>26.5</v>
      </c>
      <c r="BC12" s="25">
        <f t="shared" si="15"/>
        <v>0.65217391304347827</v>
      </c>
      <c r="BD12" s="26">
        <f>VLOOKUP(B12,'Jan''26- Leave Bal'!$B$3:$D$83,3,0)</f>
        <v>0</v>
      </c>
      <c r="BE12" s="27">
        <f>VLOOKUP(B12,'Jan''26- Leave Bal'!$B$3:$E$83,4,0)+$BE$3</f>
        <v>0.5</v>
      </c>
      <c r="BF12" s="27">
        <f>VLOOKUP(B12,'Jan''26- Leave Bal'!$B$3:$F$83,5,0)+$BF$3</f>
        <v>0.5</v>
      </c>
      <c r="BG12" s="27">
        <f>VLOOKUP(B12,'Jan''26- Leave Bal'!$B$3:$G$83,6,0)+$BG$3</f>
        <v>5.5</v>
      </c>
      <c r="BH12" s="27">
        <f>VLOOKUP(B12,'Jan''26- Leave Bal'!$B$3:$H$83,7,0)</f>
        <v>15</v>
      </c>
      <c r="BI12" s="27">
        <f>VLOOKUP(B12,'Jan''26- Leave Bal'!$B$3:$I$83,8,0)+$BI$3</f>
        <v>0.75</v>
      </c>
      <c r="BJ12" s="28">
        <f t="shared" si="16"/>
        <v>0</v>
      </c>
      <c r="BK12" s="28">
        <f t="shared" si="17"/>
        <v>0.5</v>
      </c>
      <c r="BL12" s="28">
        <f t="shared" si="18"/>
        <v>0.5</v>
      </c>
      <c r="BM12" s="28">
        <f t="shared" si="19"/>
        <v>5.5</v>
      </c>
      <c r="BN12" s="28">
        <f t="shared" si="20"/>
        <v>0</v>
      </c>
      <c r="BO12" s="28">
        <f t="shared" si="21"/>
        <v>1.5</v>
      </c>
      <c r="BP12" s="28">
        <f t="shared" ref="BP12:BT12" si="31">BD12-BJ12</f>
        <v>0</v>
      </c>
      <c r="BQ12" s="26">
        <f t="shared" si="31"/>
        <v>0</v>
      </c>
      <c r="BR12" s="26">
        <f t="shared" si="31"/>
        <v>0</v>
      </c>
      <c r="BS12" s="26">
        <f t="shared" si="31"/>
        <v>0</v>
      </c>
      <c r="BT12" s="26">
        <f t="shared" si="31"/>
        <v>15</v>
      </c>
      <c r="BU12" s="26">
        <f t="shared" si="23"/>
        <v>0.75</v>
      </c>
      <c r="BV12" s="17" t="s">
        <v>253</v>
      </c>
      <c r="BW12" s="17">
        <v>0</v>
      </c>
    </row>
    <row r="13" spans="1:75" ht="12" x14ac:dyDescent="0.3">
      <c r="A13" s="18">
        <v>10</v>
      </c>
      <c r="B13" s="18" t="s">
        <v>81</v>
      </c>
      <c r="C13" s="45"/>
      <c r="D13" s="18" t="s">
        <v>57</v>
      </c>
      <c r="E13" s="19" t="s">
        <v>58</v>
      </c>
      <c r="F13" s="18" t="s">
        <v>59</v>
      </c>
      <c r="G13" s="18" t="s">
        <v>60</v>
      </c>
      <c r="H13" s="18">
        <v>7893739623</v>
      </c>
      <c r="I13" s="18" t="s">
        <v>82</v>
      </c>
      <c r="J13" s="20">
        <v>44426</v>
      </c>
      <c r="K13" s="21"/>
      <c r="L13" s="18" t="s">
        <v>17</v>
      </c>
      <c r="M13" s="18" t="s">
        <v>62</v>
      </c>
      <c r="N13" s="18" t="s">
        <v>62</v>
      </c>
      <c r="O13" s="22" t="s">
        <v>62</v>
      </c>
      <c r="P13" s="18" t="s">
        <v>62</v>
      </c>
      <c r="Q13" s="18" t="s">
        <v>62</v>
      </c>
      <c r="R13" s="18" t="s">
        <v>62</v>
      </c>
      <c r="S13" s="22" t="s">
        <v>17</v>
      </c>
      <c r="T13" s="18" t="s">
        <v>62</v>
      </c>
      <c r="U13" s="18" t="s">
        <v>62</v>
      </c>
      <c r="V13" s="18" t="s">
        <v>62</v>
      </c>
      <c r="W13" s="18" t="s">
        <v>62</v>
      </c>
      <c r="X13" s="18" t="s">
        <v>62</v>
      </c>
      <c r="Y13" s="18" t="s">
        <v>62</v>
      </c>
      <c r="Z13" s="22" t="s">
        <v>17</v>
      </c>
      <c r="AA13" s="18" t="s">
        <v>62</v>
      </c>
      <c r="AB13" s="18" t="s">
        <v>18</v>
      </c>
      <c r="AC13" s="18" t="s">
        <v>62</v>
      </c>
      <c r="AD13" s="18" t="s">
        <v>18</v>
      </c>
      <c r="AE13" s="33" t="s">
        <v>62</v>
      </c>
      <c r="AF13" s="18" t="s">
        <v>18</v>
      </c>
      <c r="AG13" s="18" t="s">
        <v>62</v>
      </c>
      <c r="AH13" s="18" t="s">
        <v>18</v>
      </c>
      <c r="AI13" s="18" t="s">
        <v>62</v>
      </c>
      <c r="AJ13" s="18" t="s">
        <v>18</v>
      </c>
      <c r="AK13" s="18" t="s">
        <v>62</v>
      </c>
      <c r="AL13" s="18" t="s">
        <v>18</v>
      </c>
      <c r="AM13" s="18" t="s">
        <v>62</v>
      </c>
      <c r="AN13" s="18">
        <f t="shared" si="0"/>
        <v>19</v>
      </c>
      <c r="AO13" s="18">
        <f t="shared" si="1"/>
        <v>3</v>
      </c>
      <c r="AP13" s="18">
        <f t="shared" si="2"/>
        <v>6</v>
      </c>
      <c r="AQ13" s="18">
        <f t="shared" si="3"/>
        <v>0</v>
      </c>
      <c r="AR13" s="18">
        <f t="shared" si="4"/>
        <v>0</v>
      </c>
      <c r="AS13" s="18">
        <f t="shared" si="5"/>
        <v>0</v>
      </c>
      <c r="AT13" s="18">
        <f t="shared" si="6"/>
        <v>0</v>
      </c>
      <c r="AU13" s="18">
        <f t="shared" si="7"/>
        <v>0</v>
      </c>
      <c r="AV13" s="18">
        <f t="shared" si="8"/>
        <v>0</v>
      </c>
      <c r="AW13" s="18">
        <f t="shared" si="9"/>
        <v>0</v>
      </c>
      <c r="AX13" s="18">
        <f t="shared" si="10"/>
        <v>0</v>
      </c>
      <c r="AY13" s="18">
        <f t="shared" si="11"/>
        <v>0</v>
      </c>
      <c r="AZ13" s="23">
        <f t="shared" si="12"/>
        <v>28</v>
      </c>
      <c r="BA13" s="18">
        <f t="shared" si="13"/>
        <v>25</v>
      </c>
      <c r="BB13" s="24">
        <f t="shared" si="14"/>
        <v>28</v>
      </c>
      <c r="BC13" s="25">
        <f t="shared" si="15"/>
        <v>0.76</v>
      </c>
      <c r="BD13" s="26">
        <f>VLOOKUP(B13,'Jan''26- Leave Bal'!$B$3:$D$83,3,0)</f>
        <v>0</v>
      </c>
      <c r="BE13" s="27">
        <f>VLOOKUP(B13,'Jan''26- Leave Bal'!$B$3:$E$83,4,0)+$BE$3</f>
        <v>0.5</v>
      </c>
      <c r="BF13" s="27">
        <f>VLOOKUP(B13,'Jan''26- Leave Bal'!$B$3:$F$83,5,0)+$BF$3</f>
        <v>0.5</v>
      </c>
      <c r="BG13" s="27">
        <f>VLOOKUP(B13,'Jan''26- Leave Bal'!$B$3:$G$83,6,0)+$BG$3</f>
        <v>7.5</v>
      </c>
      <c r="BH13" s="27">
        <f>VLOOKUP(B13,'Jan''26- Leave Bal'!$B$3:$H$83,7,0)</f>
        <v>15</v>
      </c>
      <c r="BI13" s="27">
        <f>VLOOKUP(B13,'Jan''26- Leave Bal'!$B$3:$I$83,8,0)+$BI$3</f>
        <v>0.75</v>
      </c>
      <c r="BJ13" s="28">
        <f t="shared" si="16"/>
        <v>0</v>
      </c>
      <c r="BK13" s="28">
        <f t="shared" si="17"/>
        <v>0.5</v>
      </c>
      <c r="BL13" s="28">
        <f t="shared" si="18"/>
        <v>0.5</v>
      </c>
      <c r="BM13" s="28">
        <f t="shared" si="19"/>
        <v>5</v>
      </c>
      <c r="BN13" s="28">
        <f t="shared" si="20"/>
        <v>0</v>
      </c>
      <c r="BO13" s="28">
        <f t="shared" si="21"/>
        <v>0</v>
      </c>
      <c r="BP13" s="28">
        <f t="shared" ref="BP13:BT13" si="32">BD13-BJ13</f>
        <v>0</v>
      </c>
      <c r="BQ13" s="26">
        <f t="shared" si="32"/>
        <v>0</v>
      </c>
      <c r="BR13" s="26">
        <f t="shared" si="32"/>
        <v>0</v>
      </c>
      <c r="BS13" s="26">
        <f t="shared" si="32"/>
        <v>2.5</v>
      </c>
      <c r="BT13" s="26">
        <f t="shared" si="32"/>
        <v>15</v>
      </c>
      <c r="BU13" s="26">
        <f t="shared" si="23"/>
        <v>0.75</v>
      </c>
      <c r="BW13" s="17" t="s">
        <v>254</v>
      </c>
    </row>
    <row r="14" spans="1:75" ht="12" x14ac:dyDescent="0.3">
      <c r="A14" s="18">
        <v>11</v>
      </c>
      <c r="B14" s="18" t="s">
        <v>83</v>
      </c>
      <c r="C14" s="45"/>
      <c r="D14" s="18" t="s">
        <v>57</v>
      </c>
      <c r="E14" s="19" t="s">
        <v>58</v>
      </c>
      <c r="F14" s="18" t="s">
        <v>59</v>
      </c>
      <c r="G14" s="18" t="s">
        <v>60</v>
      </c>
      <c r="H14" s="18">
        <v>9550982385</v>
      </c>
      <c r="I14" s="18" t="s">
        <v>84</v>
      </c>
      <c r="J14" s="29">
        <v>44326</v>
      </c>
      <c r="K14" s="26"/>
      <c r="L14" s="18" t="s">
        <v>22</v>
      </c>
      <c r="M14" s="18" t="s">
        <v>22</v>
      </c>
      <c r="N14" s="18" t="s">
        <v>22</v>
      </c>
      <c r="O14" s="18" t="s">
        <v>22</v>
      </c>
      <c r="P14" s="18" t="s">
        <v>22</v>
      </c>
      <c r="Q14" s="18" t="s">
        <v>23</v>
      </c>
      <c r="R14" s="18" t="s">
        <v>23</v>
      </c>
      <c r="S14" s="18" t="s">
        <v>23</v>
      </c>
      <c r="T14" s="18" t="s">
        <v>23</v>
      </c>
      <c r="U14" s="18" t="s">
        <v>23</v>
      </c>
      <c r="V14" s="18" t="s">
        <v>23</v>
      </c>
      <c r="W14" s="18" t="s">
        <v>23</v>
      </c>
      <c r="X14" s="18" t="s">
        <v>23</v>
      </c>
      <c r="Y14" s="18" t="s">
        <v>23</v>
      </c>
      <c r="Z14" s="18" t="s">
        <v>23</v>
      </c>
      <c r="AA14" s="18" t="s">
        <v>23</v>
      </c>
      <c r="AB14" s="18" t="s">
        <v>23</v>
      </c>
      <c r="AC14" s="18" t="s">
        <v>18</v>
      </c>
      <c r="AD14" s="18" t="s">
        <v>18</v>
      </c>
      <c r="AE14" s="18" t="s">
        <v>18</v>
      </c>
      <c r="AF14" s="18" t="s">
        <v>18</v>
      </c>
      <c r="AG14" s="18" t="s">
        <v>23</v>
      </c>
      <c r="AH14" s="18" t="s">
        <v>62</v>
      </c>
      <c r="AI14" s="18" t="s">
        <v>62</v>
      </c>
      <c r="AJ14" s="18" t="s">
        <v>18</v>
      </c>
      <c r="AK14" s="18" t="s">
        <v>62</v>
      </c>
      <c r="AL14" s="18" t="s">
        <v>17</v>
      </c>
      <c r="AM14" s="18" t="s">
        <v>62</v>
      </c>
      <c r="AN14" s="18">
        <f t="shared" ref="AN14:AN45" si="33">COUNTIF(L14:AM14,"P")+COUNTIF(L14:AM14,"HFL")/2</f>
        <v>4</v>
      </c>
      <c r="AO14" s="18">
        <f t="shared" ref="AO14:AO25" si="34">COUNTIF(L14:AM14,"W/O")</f>
        <v>1</v>
      </c>
      <c r="AP14" s="18">
        <f t="shared" ref="AP14:AP25" si="35">COUNTIF(L14:AM14,"L")</f>
        <v>5</v>
      </c>
      <c r="AQ14" s="18">
        <f t="shared" ref="AQ14:AQ20" si="36">COUNTIF(L14:AM14,"HFL")/2</f>
        <v>0</v>
      </c>
      <c r="AR14" s="18">
        <f t="shared" ref="AR14:AR25" si="37">COUNTIF(L14:AM14,"H")</f>
        <v>0</v>
      </c>
      <c r="AS14" s="18">
        <f t="shared" ref="AS14:AS20" si="38">COUNTIF(L14:AM14,"MG")</f>
        <v>0</v>
      </c>
      <c r="AT14" s="18">
        <f t="shared" ref="AT14:AT20" si="39">COUNTIF(L14:AM14,"ML")</f>
        <v>5</v>
      </c>
      <c r="AU14" s="18">
        <f t="shared" ref="AU14:AU25" si="40">COUNTIF(L14:AM14,"UL")</f>
        <v>13</v>
      </c>
      <c r="AV14" s="18">
        <f t="shared" ref="AV14:AV20" si="41">COUNTIF(L14:AM14,"MC")</f>
        <v>0</v>
      </c>
      <c r="AW14" s="18">
        <f t="shared" ref="AW14:AW20" si="42">COUNTIF(L14:AM14,"BL")</f>
        <v>0</v>
      </c>
      <c r="AX14" s="18">
        <f t="shared" ref="AX14:AX20" si="43">COUNTIF(L14:AM14,"MDL")</f>
        <v>0</v>
      </c>
      <c r="AY14" s="18">
        <f t="shared" ref="AY14:AY20" si="44">COUNTIF(L14:AM14,"LOP")</f>
        <v>0</v>
      </c>
      <c r="AZ14" s="23">
        <f t="shared" ref="AZ14:AZ45" si="45">SUM(AN14:AY14)</f>
        <v>28</v>
      </c>
      <c r="BA14" s="18">
        <f t="shared" ref="BA14:BA45" si="46">SUM(AP14:AQ14,AS14:AY14,AN14)</f>
        <v>27</v>
      </c>
      <c r="BB14" s="24">
        <f t="shared" ref="BB14:BB45" si="47">AZ14-(AU14+BO14)</f>
        <v>12</v>
      </c>
      <c r="BC14" s="25">
        <f t="shared" ref="BC14:BC45" si="48">AN14/BA14</f>
        <v>0.14814814814814814</v>
      </c>
      <c r="BD14" s="26">
        <f>VLOOKUP(B14,'Jan''26- Leave Bal'!$B$3:$D$83,3,0)</f>
        <v>0</v>
      </c>
      <c r="BE14" s="27">
        <f>VLOOKUP(B14,'Jan''26- Leave Bal'!$B$3:$E$83,4,0)+$BE$3</f>
        <v>0.5</v>
      </c>
      <c r="BF14" s="27">
        <f>VLOOKUP(B14,'Jan''26- Leave Bal'!$B$3:$F$83,5,0)+$BF$3</f>
        <v>0.5</v>
      </c>
      <c r="BG14" s="27">
        <f>VLOOKUP(B14,'Jan''26- Leave Bal'!$B$3:$G$83,6,0)+$BG$3</f>
        <v>1</v>
      </c>
      <c r="BH14" s="27">
        <f>VLOOKUP(B14,'Jan''26- Leave Bal'!$B$3:$H$83,7,0)</f>
        <v>0</v>
      </c>
      <c r="BI14" s="27">
        <f>VLOOKUP(B14,'Jan''26- Leave Bal'!$B$3:$I$83,8,0)+$BI$3</f>
        <v>0.25</v>
      </c>
      <c r="BJ14" s="28">
        <f t="shared" ref="BJ14:BJ45" si="49">IF((AP14+AQ14)&lt;=BD14, (AP14+AQ14),BD14)</f>
        <v>0</v>
      </c>
      <c r="BK14" s="28">
        <f t="shared" ref="BK14:BK45" si="50">IF(((AP14+AQ14)-BJ14)&gt;BE14,BE14,(AP14+AQ14)-BJ14)</f>
        <v>0.5</v>
      </c>
      <c r="BL14" s="28">
        <f t="shared" ref="BL14:BL45" si="51">IF((AP14+AQ14-BJ14-BK14)&gt;=BF14,BF14,(AP14+AQ14-BJ14-BK14))</f>
        <v>0.5</v>
      </c>
      <c r="BM14" s="28">
        <f t="shared" ref="BM14:BM45" si="52">IF((AP14+AQ14-BJ14-BK14-BL14)&gt;=BG14,BG14,(AP14+AQ14-BJ14-BK14-BL14))</f>
        <v>1</v>
      </c>
      <c r="BN14" s="28">
        <f t="shared" ref="BN14:BN45" si="53">AS14</f>
        <v>0</v>
      </c>
      <c r="BO14" s="28">
        <f t="shared" ref="BO14:BO45" si="54">AP14+AQ14-BJ14-BK14-BL14-BM14</f>
        <v>3</v>
      </c>
      <c r="BP14" s="28">
        <f t="shared" ref="BP14:BP45" si="55">BD14-BJ14</f>
        <v>0</v>
      </c>
      <c r="BQ14" s="26">
        <f t="shared" ref="BQ14:BQ45" si="56">BE14-BK14</f>
        <v>0</v>
      </c>
      <c r="BR14" s="26">
        <f t="shared" ref="BR14:BR45" si="57">BF14-BL14</f>
        <v>0</v>
      </c>
      <c r="BS14" s="26">
        <f t="shared" ref="BS14:BS45" si="58">BG14-BM14</f>
        <v>0</v>
      </c>
      <c r="BT14" s="26">
        <f t="shared" ref="BT14:BT45" si="59">BH14-BN14</f>
        <v>0</v>
      </c>
      <c r="BU14" s="26">
        <f t="shared" ref="BU14:BU45" si="60">BI14</f>
        <v>0.25</v>
      </c>
      <c r="BW14" s="17">
        <v>0</v>
      </c>
    </row>
    <row r="15" spans="1:75" ht="12" x14ac:dyDescent="0.3">
      <c r="A15" s="18">
        <v>12</v>
      </c>
      <c r="B15" s="18" t="s">
        <v>85</v>
      </c>
      <c r="C15" s="45"/>
      <c r="D15" s="18" t="s">
        <v>57</v>
      </c>
      <c r="E15" s="19" t="s">
        <v>58</v>
      </c>
      <c r="F15" s="18" t="s">
        <v>59</v>
      </c>
      <c r="G15" s="18" t="s">
        <v>60</v>
      </c>
      <c r="H15" s="18">
        <v>9848887958</v>
      </c>
      <c r="I15" s="18" t="s">
        <v>86</v>
      </c>
      <c r="J15" s="20">
        <v>44909</v>
      </c>
      <c r="K15" s="21"/>
      <c r="L15" s="22" t="s">
        <v>17</v>
      </c>
      <c r="M15" s="18" t="s">
        <v>62</v>
      </c>
      <c r="N15" s="18" t="s">
        <v>62</v>
      </c>
      <c r="O15" s="18" t="s">
        <v>62</v>
      </c>
      <c r="P15" s="18" t="s">
        <v>62</v>
      </c>
      <c r="Q15" s="18" t="s">
        <v>62</v>
      </c>
      <c r="R15" s="18" t="s">
        <v>62</v>
      </c>
      <c r="S15" s="22" t="s">
        <v>17</v>
      </c>
      <c r="T15" s="18" t="s">
        <v>18</v>
      </c>
      <c r="U15" s="18" t="s">
        <v>62</v>
      </c>
      <c r="V15" s="18" t="s">
        <v>62</v>
      </c>
      <c r="W15" s="18" t="s">
        <v>62</v>
      </c>
      <c r="X15" s="18" t="s">
        <v>62</v>
      </c>
      <c r="Y15" s="18" t="s">
        <v>62</v>
      </c>
      <c r="Z15" s="22" t="s">
        <v>17</v>
      </c>
      <c r="AA15" s="18" t="s">
        <v>62</v>
      </c>
      <c r="AB15" s="18" t="s">
        <v>18</v>
      </c>
      <c r="AC15" s="18" t="s">
        <v>18</v>
      </c>
      <c r="AD15" s="18" t="s">
        <v>62</v>
      </c>
      <c r="AE15" s="18" t="s">
        <v>62</v>
      </c>
      <c r="AF15" s="18" t="s">
        <v>62</v>
      </c>
      <c r="AG15" s="18" t="s">
        <v>17</v>
      </c>
      <c r="AH15" s="18" t="s">
        <v>62</v>
      </c>
      <c r="AI15" s="18" t="s">
        <v>62</v>
      </c>
      <c r="AJ15" s="18" t="s">
        <v>62</v>
      </c>
      <c r="AK15" s="18" t="s">
        <v>62</v>
      </c>
      <c r="AL15" s="18" t="s">
        <v>62</v>
      </c>
      <c r="AM15" s="18" t="s">
        <v>62</v>
      </c>
      <c r="AN15" s="18">
        <f t="shared" si="33"/>
        <v>21</v>
      </c>
      <c r="AO15" s="18">
        <f t="shared" si="34"/>
        <v>4</v>
      </c>
      <c r="AP15" s="18">
        <f t="shared" si="35"/>
        <v>3</v>
      </c>
      <c r="AQ15" s="18">
        <f t="shared" si="36"/>
        <v>0</v>
      </c>
      <c r="AR15" s="18">
        <f t="shared" si="37"/>
        <v>0</v>
      </c>
      <c r="AS15" s="18">
        <f t="shared" si="38"/>
        <v>0</v>
      </c>
      <c r="AT15" s="18">
        <f t="shared" si="39"/>
        <v>0</v>
      </c>
      <c r="AU15" s="18">
        <f t="shared" si="40"/>
        <v>0</v>
      </c>
      <c r="AV15" s="18">
        <f t="shared" si="41"/>
        <v>0</v>
      </c>
      <c r="AW15" s="18">
        <f t="shared" si="42"/>
        <v>0</v>
      </c>
      <c r="AX15" s="18">
        <f t="shared" si="43"/>
        <v>0</v>
      </c>
      <c r="AY15" s="18">
        <f t="shared" si="44"/>
        <v>0</v>
      </c>
      <c r="AZ15" s="23">
        <f t="shared" si="45"/>
        <v>28</v>
      </c>
      <c r="BA15" s="18">
        <f t="shared" si="46"/>
        <v>24</v>
      </c>
      <c r="BB15" s="24">
        <f t="shared" si="47"/>
        <v>28</v>
      </c>
      <c r="BC15" s="25">
        <f t="shared" si="48"/>
        <v>0.875</v>
      </c>
      <c r="BD15" s="26">
        <f>VLOOKUP(B15,'Jan''26- Leave Bal'!$B$3:$D$83,3,0)</f>
        <v>0</v>
      </c>
      <c r="BE15" s="27">
        <f>VLOOKUP(B15,'Jan''26- Leave Bal'!$B$3:$E$83,4,0)+$BE$3</f>
        <v>0.5</v>
      </c>
      <c r="BF15" s="27">
        <f>VLOOKUP(B15,'Jan''26- Leave Bal'!$B$3:$F$83,5,0)+$BF$3</f>
        <v>0.5</v>
      </c>
      <c r="BG15" s="27">
        <f>VLOOKUP(B15,'Jan''26- Leave Bal'!$B$3:$G$83,6,0)+$BG$3</f>
        <v>11</v>
      </c>
      <c r="BH15" s="27">
        <f>VLOOKUP(B15,'Jan''26- Leave Bal'!$B$3:$H$83,7,0)</f>
        <v>15</v>
      </c>
      <c r="BI15" s="27">
        <f>VLOOKUP(B15,'Jan''26- Leave Bal'!$B$3:$I$83,8,0)+$BI$3</f>
        <v>0.75</v>
      </c>
      <c r="BJ15" s="28">
        <f t="shared" si="49"/>
        <v>0</v>
      </c>
      <c r="BK15" s="28">
        <f t="shared" si="50"/>
        <v>0.5</v>
      </c>
      <c r="BL15" s="28">
        <f t="shared" si="51"/>
        <v>0.5</v>
      </c>
      <c r="BM15" s="28">
        <f t="shared" si="52"/>
        <v>2</v>
      </c>
      <c r="BN15" s="28">
        <f t="shared" si="53"/>
        <v>0</v>
      </c>
      <c r="BO15" s="28">
        <f t="shared" si="54"/>
        <v>0</v>
      </c>
      <c r="BP15" s="28">
        <f t="shared" si="55"/>
        <v>0</v>
      </c>
      <c r="BQ15" s="26">
        <f t="shared" si="56"/>
        <v>0</v>
      </c>
      <c r="BR15" s="26">
        <f t="shared" si="57"/>
        <v>0</v>
      </c>
      <c r="BS15" s="26">
        <f t="shared" si="58"/>
        <v>9</v>
      </c>
      <c r="BT15" s="26">
        <f t="shared" si="59"/>
        <v>15</v>
      </c>
      <c r="BU15" s="26">
        <f t="shared" si="60"/>
        <v>0.75</v>
      </c>
      <c r="BW15" s="17">
        <v>0</v>
      </c>
    </row>
    <row r="16" spans="1:75" ht="12" x14ac:dyDescent="0.3">
      <c r="A16" s="18">
        <v>13</v>
      </c>
      <c r="B16" s="18" t="s">
        <v>87</v>
      </c>
      <c r="C16" s="45"/>
      <c r="D16" s="18" t="s">
        <v>57</v>
      </c>
      <c r="E16" s="19" t="s">
        <v>58</v>
      </c>
      <c r="F16" s="18" t="s">
        <v>59</v>
      </c>
      <c r="G16" s="18" t="s">
        <v>60</v>
      </c>
      <c r="H16" s="18">
        <v>8374073673</v>
      </c>
      <c r="I16" s="18" t="s">
        <v>88</v>
      </c>
      <c r="J16" s="20">
        <v>45033</v>
      </c>
      <c r="K16" s="21"/>
      <c r="L16" s="22" t="s">
        <v>17</v>
      </c>
      <c r="M16" s="18" t="s">
        <v>62</v>
      </c>
      <c r="N16" s="18" t="s">
        <v>62</v>
      </c>
      <c r="O16" s="22" t="s">
        <v>62</v>
      </c>
      <c r="P16" s="18" t="s">
        <v>62</v>
      </c>
      <c r="Q16" s="18" t="s">
        <v>62</v>
      </c>
      <c r="R16" s="18" t="s">
        <v>62</v>
      </c>
      <c r="S16" s="22" t="s">
        <v>17</v>
      </c>
      <c r="T16" s="18" t="s">
        <v>62</v>
      </c>
      <c r="U16" s="18" t="s">
        <v>18</v>
      </c>
      <c r="V16" s="18" t="s">
        <v>62</v>
      </c>
      <c r="W16" s="18" t="s">
        <v>62</v>
      </c>
      <c r="X16" s="18" t="s">
        <v>62</v>
      </c>
      <c r="Y16" s="18" t="s">
        <v>62</v>
      </c>
      <c r="Z16" s="22" t="s">
        <v>17</v>
      </c>
      <c r="AA16" s="18" t="s">
        <v>62</v>
      </c>
      <c r="AB16" s="18" t="s">
        <v>62</v>
      </c>
      <c r="AC16" s="18" t="s">
        <v>62</v>
      </c>
      <c r="AD16" s="18" t="s">
        <v>62</v>
      </c>
      <c r="AE16" s="18" t="s">
        <v>62</v>
      </c>
      <c r="AF16" s="18" t="s">
        <v>62</v>
      </c>
      <c r="AG16" s="18" t="s">
        <v>17</v>
      </c>
      <c r="AH16" s="18" t="s">
        <v>62</v>
      </c>
      <c r="AI16" s="18" t="s">
        <v>62</v>
      </c>
      <c r="AJ16" s="18" t="s">
        <v>62</v>
      </c>
      <c r="AK16" s="18" t="s">
        <v>62</v>
      </c>
      <c r="AL16" s="18" t="s">
        <v>17</v>
      </c>
      <c r="AM16" s="18" t="s">
        <v>62</v>
      </c>
      <c r="AN16" s="18">
        <f t="shared" si="33"/>
        <v>22</v>
      </c>
      <c r="AO16" s="18">
        <f t="shared" si="34"/>
        <v>5</v>
      </c>
      <c r="AP16" s="18">
        <f t="shared" si="35"/>
        <v>1</v>
      </c>
      <c r="AQ16" s="18">
        <f t="shared" si="36"/>
        <v>0</v>
      </c>
      <c r="AR16" s="18">
        <f t="shared" si="37"/>
        <v>0</v>
      </c>
      <c r="AS16" s="18">
        <f t="shared" si="38"/>
        <v>0</v>
      </c>
      <c r="AT16" s="18">
        <f t="shared" si="39"/>
        <v>0</v>
      </c>
      <c r="AU16" s="18">
        <f t="shared" si="40"/>
        <v>0</v>
      </c>
      <c r="AV16" s="18">
        <f t="shared" si="41"/>
        <v>0</v>
      </c>
      <c r="AW16" s="18">
        <f t="shared" si="42"/>
        <v>0</v>
      </c>
      <c r="AX16" s="18">
        <f t="shared" si="43"/>
        <v>0</v>
      </c>
      <c r="AY16" s="18">
        <f t="shared" si="44"/>
        <v>0</v>
      </c>
      <c r="AZ16" s="23">
        <f t="shared" si="45"/>
        <v>28</v>
      </c>
      <c r="BA16" s="18">
        <f t="shared" si="46"/>
        <v>23</v>
      </c>
      <c r="BB16" s="24">
        <f t="shared" si="47"/>
        <v>28</v>
      </c>
      <c r="BC16" s="25">
        <f t="shared" si="48"/>
        <v>0.95652173913043481</v>
      </c>
      <c r="BD16" s="26">
        <f>VLOOKUP(B16,'Jan''26- Leave Bal'!$B$3:$D$83,3,0)</f>
        <v>0</v>
      </c>
      <c r="BE16" s="27">
        <f>VLOOKUP(B16,'Jan''26- Leave Bal'!$B$3:$E$83,4,0)+$BE$3</f>
        <v>0.5</v>
      </c>
      <c r="BF16" s="27">
        <f>VLOOKUP(B16,'Jan''26- Leave Bal'!$B$3:$F$83,5,0)+$BF$3</f>
        <v>0.5</v>
      </c>
      <c r="BG16" s="27">
        <f>VLOOKUP(B16,'Jan''26- Leave Bal'!$B$3:$G$83,6,0)+$BG$3</f>
        <v>1</v>
      </c>
      <c r="BH16" s="27">
        <f>VLOOKUP(B16,'Jan''26- Leave Bal'!$B$3:$H$83,7,0)</f>
        <v>15</v>
      </c>
      <c r="BI16" s="27">
        <f>VLOOKUP(B16,'Jan''26- Leave Bal'!$B$3:$I$83,8,0)+$BI$3</f>
        <v>0.75</v>
      </c>
      <c r="BJ16" s="28">
        <f t="shared" si="49"/>
        <v>0</v>
      </c>
      <c r="BK16" s="28">
        <f t="shared" si="50"/>
        <v>0.5</v>
      </c>
      <c r="BL16" s="28">
        <f t="shared" si="51"/>
        <v>0.5</v>
      </c>
      <c r="BM16" s="28">
        <f t="shared" si="52"/>
        <v>0</v>
      </c>
      <c r="BN16" s="28">
        <f t="shared" si="53"/>
        <v>0</v>
      </c>
      <c r="BO16" s="28">
        <f t="shared" si="54"/>
        <v>0</v>
      </c>
      <c r="BP16" s="28">
        <f t="shared" si="55"/>
        <v>0</v>
      </c>
      <c r="BQ16" s="26">
        <f t="shared" si="56"/>
        <v>0</v>
      </c>
      <c r="BR16" s="26">
        <f t="shared" si="57"/>
        <v>0</v>
      </c>
      <c r="BS16" s="26">
        <f t="shared" si="58"/>
        <v>1</v>
      </c>
      <c r="BT16" s="26">
        <f t="shared" si="59"/>
        <v>15</v>
      </c>
      <c r="BU16" s="26">
        <f t="shared" si="60"/>
        <v>0.75</v>
      </c>
      <c r="BV16" s="17" t="s">
        <v>253</v>
      </c>
      <c r="BW16" s="17">
        <v>0</v>
      </c>
    </row>
    <row r="17" spans="1:75" ht="12" x14ac:dyDescent="0.3">
      <c r="A17" s="18">
        <v>14</v>
      </c>
      <c r="B17" s="18" t="s">
        <v>89</v>
      </c>
      <c r="C17" s="45"/>
      <c r="D17" s="18" t="s">
        <v>57</v>
      </c>
      <c r="E17" s="19" t="s">
        <v>58</v>
      </c>
      <c r="F17" s="18" t="s">
        <v>59</v>
      </c>
      <c r="G17" s="18" t="s">
        <v>77</v>
      </c>
      <c r="H17" s="18">
        <v>7093331093</v>
      </c>
      <c r="I17" s="18" t="s">
        <v>90</v>
      </c>
      <c r="J17" s="31">
        <v>45086</v>
      </c>
      <c r="K17" s="34"/>
      <c r="L17" s="22" t="s">
        <v>17</v>
      </c>
      <c r="M17" s="18" t="s">
        <v>62</v>
      </c>
      <c r="N17" s="18" t="s">
        <v>62</v>
      </c>
      <c r="O17" s="22" t="s">
        <v>18</v>
      </c>
      <c r="P17" s="22" t="s">
        <v>17</v>
      </c>
      <c r="Q17" s="18" t="s">
        <v>62</v>
      </c>
      <c r="R17" s="18" t="s">
        <v>62</v>
      </c>
      <c r="S17" s="18" t="s">
        <v>62</v>
      </c>
      <c r="T17" s="18" t="s">
        <v>62</v>
      </c>
      <c r="U17" s="18" t="s">
        <v>62</v>
      </c>
      <c r="V17" s="18" t="s">
        <v>62</v>
      </c>
      <c r="W17" s="18" t="s">
        <v>62</v>
      </c>
      <c r="X17" s="18" t="s">
        <v>62</v>
      </c>
      <c r="Y17" s="18" t="s">
        <v>62</v>
      </c>
      <c r="Z17" s="22" t="s">
        <v>17</v>
      </c>
      <c r="AA17" s="18" t="s">
        <v>62</v>
      </c>
      <c r="AB17" s="18" t="s">
        <v>62</v>
      </c>
      <c r="AC17" s="18" t="s">
        <v>62</v>
      </c>
      <c r="AD17" s="18" t="s">
        <v>62</v>
      </c>
      <c r="AE17" s="18" t="s">
        <v>62</v>
      </c>
      <c r="AF17" s="18" t="s">
        <v>62</v>
      </c>
      <c r="AG17" s="18" t="s">
        <v>17</v>
      </c>
      <c r="AH17" s="18" t="s">
        <v>62</v>
      </c>
      <c r="AI17" s="18" t="s">
        <v>62</v>
      </c>
      <c r="AJ17" s="18" t="s">
        <v>62</v>
      </c>
      <c r="AK17" s="18" t="s">
        <v>62</v>
      </c>
      <c r="AL17" s="18" t="s">
        <v>18</v>
      </c>
      <c r="AM17" s="18" t="s">
        <v>62</v>
      </c>
      <c r="AN17" s="18">
        <f t="shared" si="33"/>
        <v>22</v>
      </c>
      <c r="AO17" s="18">
        <f t="shared" si="34"/>
        <v>4</v>
      </c>
      <c r="AP17" s="18">
        <f t="shared" si="35"/>
        <v>2</v>
      </c>
      <c r="AQ17" s="18">
        <f t="shared" si="36"/>
        <v>0</v>
      </c>
      <c r="AR17" s="18">
        <f t="shared" si="37"/>
        <v>0</v>
      </c>
      <c r="AS17" s="18">
        <f t="shared" si="38"/>
        <v>0</v>
      </c>
      <c r="AT17" s="18">
        <f t="shared" si="39"/>
        <v>0</v>
      </c>
      <c r="AU17" s="18">
        <f t="shared" si="40"/>
        <v>0</v>
      </c>
      <c r="AV17" s="18">
        <f t="shared" si="41"/>
        <v>0</v>
      </c>
      <c r="AW17" s="18">
        <f t="shared" si="42"/>
        <v>0</v>
      </c>
      <c r="AX17" s="18">
        <f t="shared" si="43"/>
        <v>0</v>
      </c>
      <c r="AY17" s="18">
        <f t="shared" si="44"/>
        <v>0</v>
      </c>
      <c r="AZ17" s="23">
        <f t="shared" si="45"/>
        <v>28</v>
      </c>
      <c r="BA17" s="18">
        <f t="shared" si="46"/>
        <v>24</v>
      </c>
      <c r="BB17" s="24">
        <f t="shared" si="47"/>
        <v>28</v>
      </c>
      <c r="BC17" s="25">
        <f t="shared" si="48"/>
        <v>0.91666666666666663</v>
      </c>
      <c r="BD17" s="26">
        <f>VLOOKUP(B17,'Jan''26- Leave Bal'!$B$3:$D$83,3,0)</f>
        <v>0</v>
      </c>
      <c r="BE17" s="27">
        <f>VLOOKUP(B17,'Jan''26- Leave Bal'!$B$3:$E$83,4,0)+$BE$3</f>
        <v>0.5</v>
      </c>
      <c r="BF17" s="27">
        <f>VLOOKUP(B17,'Jan''26- Leave Bal'!$B$3:$F$83,5,0)+$BF$3</f>
        <v>0.5</v>
      </c>
      <c r="BG17" s="27">
        <f>VLOOKUP(B17,'Jan''26- Leave Bal'!$B$3:$G$83,6,0)+$BG$3</f>
        <v>6.8</v>
      </c>
      <c r="BH17" s="27">
        <f>VLOOKUP(B17,'Jan''26- Leave Bal'!$B$3:$H$83,7,0)</f>
        <v>0</v>
      </c>
      <c r="BI17" s="27">
        <f>VLOOKUP(B17,'Jan''26- Leave Bal'!$B$3:$I$83,8,0)+$BI$3</f>
        <v>0.75</v>
      </c>
      <c r="BJ17" s="28">
        <f t="shared" si="49"/>
        <v>0</v>
      </c>
      <c r="BK17" s="28">
        <f t="shared" si="50"/>
        <v>0.5</v>
      </c>
      <c r="BL17" s="28">
        <f t="shared" si="51"/>
        <v>0.5</v>
      </c>
      <c r="BM17" s="28">
        <f t="shared" si="52"/>
        <v>1</v>
      </c>
      <c r="BN17" s="28">
        <f t="shared" si="53"/>
        <v>0</v>
      </c>
      <c r="BO17" s="28">
        <f t="shared" si="54"/>
        <v>0</v>
      </c>
      <c r="BP17" s="28">
        <f t="shared" si="55"/>
        <v>0</v>
      </c>
      <c r="BQ17" s="26">
        <f t="shared" si="56"/>
        <v>0</v>
      </c>
      <c r="BR17" s="26">
        <f t="shared" si="57"/>
        <v>0</v>
      </c>
      <c r="BS17" s="26">
        <f t="shared" si="58"/>
        <v>5.8</v>
      </c>
      <c r="BT17" s="26">
        <f t="shared" si="59"/>
        <v>0</v>
      </c>
      <c r="BU17" s="26">
        <f t="shared" si="60"/>
        <v>0.75</v>
      </c>
      <c r="BW17" s="17">
        <v>0</v>
      </c>
    </row>
    <row r="18" spans="1:75" ht="12" x14ac:dyDescent="0.3">
      <c r="A18" s="18">
        <v>15</v>
      </c>
      <c r="B18" s="18" t="s">
        <v>91</v>
      </c>
      <c r="C18" s="45"/>
      <c r="D18" s="18" t="s">
        <v>57</v>
      </c>
      <c r="E18" s="19" t="s">
        <v>58</v>
      </c>
      <c r="F18" s="18" t="s">
        <v>59</v>
      </c>
      <c r="G18" s="18" t="s">
        <v>60</v>
      </c>
      <c r="H18" s="18">
        <v>6302402308</v>
      </c>
      <c r="I18" s="18" t="s">
        <v>92</v>
      </c>
      <c r="J18" s="20">
        <v>44426</v>
      </c>
      <c r="K18" s="21"/>
      <c r="L18" s="18" t="s">
        <v>18</v>
      </c>
      <c r="M18" s="18" t="s">
        <v>62</v>
      </c>
      <c r="N18" s="22" t="s">
        <v>62</v>
      </c>
      <c r="O18" s="22" t="s">
        <v>62</v>
      </c>
      <c r="P18" s="22" t="s">
        <v>62</v>
      </c>
      <c r="Q18" s="22" t="s">
        <v>17</v>
      </c>
      <c r="R18" s="22" t="s">
        <v>18</v>
      </c>
      <c r="S18" s="22" t="s">
        <v>18</v>
      </c>
      <c r="T18" s="22" t="s">
        <v>18</v>
      </c>
      <c r="U18" s="22" t="s">
        <v>62</v>
      </c>
      <c r="V18" s="22" t="s">
        <v>62</v>
      </c>
      <c r="W18" s="22" t="s">
        <v>62</v>
      </c>
      <c r="X18" s="22" t="s">
        <v>62</v>
      </c>
      <c r="Y18" s="22" t="s">
        <v>62</v>
      </c>
      <c r="Z18" s="22" t="s">
        <v>17</v>
      </c>
      <c r="AA18" s="22" t="s">
        <v>62</v>
      </c>
      <c r="AB18" s="18" t="s">
        <v>62</v>
      </c>
      <c r="AC18" s="18" t="s">
        <v>62</v>
      </c>
      <c r="AD18" s="18" t="s">
        <v>17</v>
      </c>
      <c r="AE18" s="18" t="s">
        <v>62</v>
      </c>
      <c r="AF18" s="18" t="s">
        <v>62</v>
      </c>
      <c r="AG18" s="18" t="s">
        <v>62</v>
      </c>
      <c r="AH18" s="18" t="s">
        <v>62</v>
      </c>
      <c r="AI18" s="18" t="s">
        <v>62</v>
      </c>
      <c r="AJ18" s="18" t="s">
        <v>62</v>
      </c>
      <c r="AK18" s="18" t="s">
        <v>62</v>
      </c>
      <c r="AL18" s="18" t="s">
        <v>17</v>
      </c>
      <c r="AM18" s="18" t="s">
        <v>62</v>
      </c>
      <c r="AN18" s="18">
        <f t="shared" si="33"/>
        <v>20</v>
      </c>
      <c r="AO18" s="18">
        <f t="shared" si="34"/>
        <v>4</v>
      </c>
      <c r="AP18" s="18">
        <f t="shared" si="35"/>
        <v>4</v>
      </c>
      <c r="AQ18" s="18">
        <f t="shared" si="36"/>
        <v>0</v>
      </c>
      <c r="AR18" s="18">
        <f t="shared" si="37"/>
        <v>0</v>
      </c>
      <c r="AS18" s="18">
        <f t="shared" si="38"/>
        <v>0</v>
      </c>
      <c r="AT18" s="18">
        <f t="shared" si="39"/>
        <v>0</v>
      </c>
      <c r="AU18" s="18">
        <f t="shared" si="40"/>
        <v>0</v>
      </c>
      <c r="AV18" s="18">
        <f t="shared" si="41"/>
        <v>0</v>
      </c>
      <c r="AW18" s="18">
        <f t="shared" si="42"/>
        <v>0</v>
      </c>
      <c r="AX18" s="18">
        <f t="shared" si="43"/>
        <v>0</v>
      </c>
      <c r="AY18" s="18">
        <f t="shared" si="44"/>
        <v>0</v>
      </c>
      <c r="AZ18" s="23">
        <f t="shared" si="45"/>
        <v>28</v>
      </c>
      <c r="BA18" s="18">
        <f t="shared" si="46"/>
        <v>24</v>
      </c>
      <c r="BB18" s="24">
        <f t="shared" si="47"/>
        <v>26</v>
      </c>
      <c r="BC18" s="25">
        <f t="shared" si="48"/>
        <v>0.83333333333333337</v>
      </c>
      <c r="BD18" s="26">
        <f>VLOOKUP(B18,'Jan''26- Leave Bal'!$B$3:$D$83,3,0)</f>
        <v>0</v>
      </c>
      <c r="BE18" s="27">
        <f>VLOOKUP(B18,'Jan''26- Leave Bal'!$B$3:$E$83,4,0)+$BE$3</f>
        <v>0.5</v>
      </c>
      <c r="BF18" s="27">
        <f>VLOOKUP(B18,'Jan''26- Leave Bal'!$B$3:$F$83,5,0)+$BF$3</f>
        <v>0.5</v>
      </c>
      <c r="BG18" s="27">
        <f>VLOOKUP(B18,'Jan''26- Leave Bal'!$B$3:$G$83,6,0)+$BG$3</f>
        <v>1</v>
      </c>
      <c r="BH18" s="27">
        <f>VLOOKUP(B18,'Jan''26- Leave Bal'!$B$3:$H$83,7,0)</f>
        <v>0</v>
      </c>
      <c r="BI18" s="27">
        <f>VLOOKUP(B18,'Jan''26- Leave Bal'!$B$3:$I$83,8,0)+$BI$3</f>
        <v>0.75</v>
      </c>
      <c r="BJ18" s="28">
        <f t="shared" si="49"/>
        <v>0</v>
      </c>
      <c r="BK18" s="28">
        <f t="shared" si="50"/>
        <v>0.5</v>
      </c>
      <c r="BL18" s="28">
        <f t="shared" si="51"/>
        <v>0.5</v>
      </c>
      <c r="BM18" s="28">
        <f t="shared" si="52"/>
        <v>1</v>
      </c>
      <c r="BN18" s="28">
        <f t="shared" si="53"/>
        <v>0</v>
      </c>
      <c r="BO18" s="28">
        <f t="shared" si="54"/>
        <v>2</v>
      </c>
      <c r="BP18" s="28">
        <f t="shared" si="55"/>
        <v>0</v>
      </c>
      <c r="BQ18" s="26">
        <f t="shared" si="56"/>
        <v>0</v>
      </c>
      <c r="BR18" s="26">
        <f t="shared" si="57"/>
        <v>0</v>
      </c>
      <c r="BS18" s="26">
        <f t="shared" si="58"/>
        <v>0</v>
      </c>
      <c r="BT18" s="26">
        <f t="shared" si="59"/>
        <v>0</v>
      </c>
      <c r="BU18" s="26">
        <f t="shared" si="60"/>
        <v>0.75</v>
      </c>
      <c r="BW18" s="17">
        <v>0</v>
      </c>
    </row>
    <row r="19" spans="1:75" ht="12" x14ac:dyDescent="0.3">
      <c r="A19" s="18">
        <v>16</v>
      </c>
      <c r="B19" s="18" t="s">
        <v>93</v>
      </c>
      <c r="C19" s="45"/>
      <c r="D19" s="18" t="s">
        <v>57</v>
      </c>
      <c r="E19" s="19" t="s">
        <v>58</v>
      </c>
      <c r="F19" s="18" t="s">
        <v>59</v>
      </c>
      <c r="G19" s="18" t="s">
        <v>60</v>
      </c>
      <c r="H19" s="18">
        <v>9392278721</v>
      </c>
      <c r="I19" s="18" t="s">
        <v>94</v>
      </c>
      <c r="J19" s="20">
        <v>44522</v>
      </c>
      <c r="K19" s="21"/>
      <c r="L19" s="22" t="s">
        <v>17</v>
      </c>
      <c r="M19" s="18" t="s">
        <v>62</v>
      </c>
      <c r="N19" s="18" t="s">
        <v>62</v>
      </c>
      <c r="O19" s="22" t="s">
        <v>62</v>
      </c>
      <c r="P19" s="18" t="s">
        <v>62</v>
      </c>
      <c r="Q19" s="18" t="s">
        <v>62</v>
      </c>
      <c r="R19" s="18" t="s">
        <v>62</v>
      </c>
      <c r="S19" s="22" t="s">
        <v>17</v>
      </c>
      <c r="T19" s="18" t="s">
        <v>62</v>
      </c>
      <c r="U19" s="18" t="s">
        <v>62</v>
      </c>
      <c r="V19" s="18" t="s">
        <v>62</v>
      </c>
      <c r="W19" s="18" t="s">
        <v>62</v>
      </c>
      <c r="X19" s="18" t="s">
        <v>62</v>
      </c>
      <c r="Y19" s="18" t="s">
        <v>62</v>
      </c>
      <c r="Z19" s="22" t="s">
        <v>17</v>
      </c>
      <c r="AA19" s="18" t="s">
        <v>62</v>
      </c>
      <c r="AB19" s="18" t="s">
        <v>62</v>
      </c>
      <c r="AC19" s="18" t="s">
        <v>62</v>
      </c>
      <c r="AD19" s="18" t="s">
        <v>62</v>
      </c>
      <c r="AE19" s="18" t="s">
        <v>62</v>
      </c>
      <c r="AF19" s="18" t="s">
        <v>62</v>
      </c>
      <c r="AG19" s="18" t="s">
        <v>17</v>
      </c>
      <c r="AH19" s="18" t="s">
        <v>62</v>
      </c>
      <c r="AI19" s="18" t="s">
        <v>62</v>
      </c>
      <c r="AJ19" s="18" t="s">
        <v>62</v>
      </c>
      <c r="AK19" s="18" t="s">
        <v>62</v>
      </c>
      <c r="AL19" s="18" t="s">
        <v>62</v>
      </c>
      <c r="AM19" s="18" t="s">
        <v>62</v>
      </c>
      <c r="AN19" s="18">
        <f t="shared" si="33"/>
        <v>24</v>
      </c>
      <c r="AO19" s="18">
        <f t="shared" si="34"/>
        <v>4</v>
      </c>
      <c r="AP19" s="18">
        <f t="shared" si="35"/>
        <v>0</v>
      </c>
      <c r="AQ19" s="18">
        <f t="shared" si="36"/>
        <v>0</v>
      </c>
      <c r="AR19" s="18">
        <f t="shared" si="37"/>
        <v>0</v>
      </c>
      <c r="AS19" s="18">
        <f t="shared" si="38"/>
        <v>0</v>
      </c>
      <c r="AT19" s="18">
        <f t="shared" si="39"/>
        <v>0</v>
      </c>
      <c r="AU19" s="18">
        <f t="shared" si="40"/>
        <v>0</v>
      </c>
      <c r="AV19" s="18">
        <f t="shared" si="41"/>
        <v>0</v>
      </c>
      <c r="AW19" s="18">
        <f t="shared" si="42"/>
        <v>0</v>
      </c>
      <c r="AX19" s="18">
        <f t="shared" si="43"/>
        <v>0</v>
      </c>
      <c r="AY19" s="18">
        <f t="shared" si="44"/>
        <v>0</v>
      </c>
      <c r="AZ19" s="23">
        <f t="shared" si="45"/>
        <v>28</v>
      </c>
      <c r="BA19" s="18">
        <f t="shared" si="46"/>
        <v>24</v>
      </c>
      <c r="BB19" s="24">
        <f t="shared" si="47"/>
        <v>28</v>
      </c>
      <c r="BC19" s="25">
        <f t="shared" si="48"/>
        <v>1</v>
      </c>
      <c r="BD19" s="26">
        <f>VLOOKUP(B19,'Jan''26- Leave Bal'!$B$3:$D$83,3,0)</f>
        <v>0</v>
      </c>
      <c r="BE19" s="27">
        <f>VLOOKUP(B19,'Jan''26- Leave Bal'!$B$3:$E$83,4,0)+$BE$3</f>
        <v>1.5</v>
      </c>
      <c r="BF19" s="27">
        <f>VLOOKUP(B19,'Jan''26- Leave Bal'!$B$3:$F$83,5,0)+$BF$3</f>
        <v>5.5</v>
      </c>
      <c r="BG19" s="27">
        <f>VLOOKUP(B19,'Jan''26- Leave Bal'!$B$3:$G$83,6,0)+$BG$3</f>
        <v>13</v>
      </c>
      <c r="BH19" s="27">
        <f>VLOOKUP(B19,'Jan''26- Leave Bal'!$B$3:$H$83,7,0)</f>
        <v>15</v>
      </c>
      <c r="BI19" s="27">
        <f>VLOOKUP(B19,'Jan''26- Leave Bal'!$B$3:$I$83,8,0)+$BI$3</f>
        <v>0.75</v>
      </c>
      <c r="BJ19" s="28">
        <f t="shared" si="49"/>
        <v>0</v>
      </c>
      <c r="BK19" s="28">
        <f t="shared" si="50"/>
        <v>0</v>
      </c>
      <c r="BL19" s="28">
        <f t="shared" si="51"/>
        <v>0</v>
      </c>
      <c r="BM19" s="28">
        <f t="shared" si="52"/>
        <v>0</v>
      </c>
      <c r="BN19" s="28">
        <f t="shared" si="53"/>
        <v>0</v>
      </c>
      <c r="BO19" s="28">
        <f t="shared" si="54"/>
        <v>0</v>
      </c>
      <c r="BP19" s="28">
        <f t="shared" si="55"/>
        <v>0</v>
      </c>
      <c r="BQ19" s="26">
        <f t="shared" si="56"/>
        <v>1.5</v>
      </c>
      <c r="BR19" s="26">
        <f t="shared" si="57"/>
        <v>5.5</v>
      </c>
      <c r="BS19" s="26">
        <f t="shared" si="58"/>
        <v>13</v>
      </c>
      <c r="BT19" s="26">
        <f t="shared" si="59"/>
        <v>15</v>
      </c>
      <c r="BU19" s="26">
        <f t="shared" si="60"/>
        <v>0.75</v>
      </c>
      <c r="BW19" s="17">
        <v>0</v>
      </c>
    </row>
    <row r="20" spans="1:75" ht="12" x14ac:dyDescent="0.3">
      <c r="A20" s="18">
        <v>17</v>
      </c>
      <c r="B20" s="18" t="s">
        <v>95</v>
      </c>
      <c r="C20" s="45"/>
      <c r="D20" s="18" t="s">
        <v>57</v>
      </c>
      <c r="E20" s="19" t="s">
        <v>58</v>
      </c>
      <c r="F20" s="18" t="s">
        <v>59</v>
      </c>
      <c r="G20" s="18" t="s">
        <v>77</v>
      </c>
      <c r="H20" s="18">
        <v>7670951643</v>
      </c>
      <c r="I20" s="18" t="s">
        <v>96</v>
      </c>
      <c r="J20" s="20">
        <v>44909</v>
      </c>
      <c r="K20" s="21"/>
      <c r="L20" s="18" t="s">
        <v>62</v>
      </c>
      <c r="M20" s="18" t="s">
        <v>62</v>
      </c>
      <c r="N20" s="18" t="s">
        <v>62</v>
      </c>
      <c r="O20" s="18" t="s">
        <v>62</v>
      </c>
      <c r="P20" s="18" t="s">
        <v>62</v>
      </c>
      <c r="Q20" s="18" t="s">
        <v>62</v>
      </c>
      <c r="R20" s="22" t="s">
        <v>17</v>
      </c>
      <c r="S20" s="18" t="s">
        <v>62</v>
      </c>
      <c r="T20" s="18" t="s">
        <v>18</v>
      </c>
      <c r="U20" s="18" t="s">
        <v>62</v>
      </c>
      <c r="V20" s="18" t="s">
        <v>62</v>
      </c>
      <c r="W20" s="18" t="s">
        <v>62</v>
      </c>
      <c r="X20" s="18" t="s">
        <v>62</v>
      </c>
      <c r="Y20" s="18" t="s">
        <v>62</v>
      </c>
      <c r="Z20" s="22" t="s">
        <v>17</v>
      </c>
      <c r="AA20" s="18" t="s">
        <v>62</v>
      </c>
      <c r="AB20" s="18" t="s">
        <v>62</v>
      </c>
      <c r="AC20" s="18" t="s">
        <v>62</v>
      </c>
      <c r="AD20" s="18" t="s">
        <v>18</v>
      </c>
      <c r="AE20" s="18" t="s">
        <v>62</v>
      </c>
      <c r="AF20" s="18" t="s">
        <v>62</v>
      </c>
      <c r="AG20" s="18" t="s">
        <v>17</v>
      </c>
      <c r="AH20" s="18" t="s">
        <v>62</v>
      </c>
      <c r="AI20" s="18" t="s">
        <v>19</v>
      </c>
      <c r="AJ20" s="18" t="s">
        <v>62</v>
      </c>
      <c r="AK20" s="18" t="s">
        <v>62</v>
      </c>
      <c r="AL20" s="18" t="s">
        <v>62</v>
      </c>
      <c r="AM20" s="18" t="s">
        <v>62</v>
      </c>
      <c r="AN20" s="18">
        <f t="shared" si="33"/>
        <v>22.5</v>
      </c>
      <c r="AO20" s="18">
        <f t="shared" si="34"/>
        <v>3</v>
      </c>
      <c r="AP20" s="18">
        <f t="shared" si="35"/>
        <v>2</v>
      </c>
      <c r="AQ20" s="18">
        <f t="shared" si="36"/>
        <v>0.5</v>
      </c>
      <c r="AR20" s="18">
        <f t="shared" si="37"/>
        <v>0</v>
      </c>
      <c r="AS20" s="18">
        <f t="shared" si="38"/>
        <v>0</v>
      </c>
      <c r="AT20" s="18">
        <f t="shared" si="39"/>
        <v>0</v>
      </c>
      <c r="AU20" s="18">
        <f t="shared" si="40"/>
        <v>0</v>
      </c>
      <c r="AV20" s="18">
        <f t="shared" si="41"/>
        <v>0</v>
      </c>
      <c r="AW20" s="18">
        <f t="shared" si="42"/>
        <v>0</v>
      </c>
      <c r="AX20" s="18">
        <f t="shared" si="43"/>
        <v>0</v>
      </c>
      <c r="AY20" s="18">
        <f t="shared" si="44"/>
        <v>0</v>
      </c>
      <c r="AZ20" s="23">
        <f t="shared" si="45"/>
        <v>28</v>
      </c>
      <c r="BA20" s="18">
        <f t="shared" si="46"/>
        <v>25</v>
      </c>
      <c r="BB20" s="24">
        <f t="shared" si="47"/>
        <v>28</v>
      </c>
      <c r="BC20" s="25">
        <f t="shared" si="48"/>
        <v>0.9</v>
      </c>
      <c r="BD20" s="26">
        <f>VLOOKUP(B20,'Jan''26- Leave Bal'!$B$3:$D$83,3,0)</f>
        <v>0</v>
      </c>
      <c r="BE20" s="27">
        <f>VLOOKUP(B20,'Jan''26- Leave Bal'!$B$3:$E$83,4,0)+$BE$3</f>
        <v>0.5</v>
      </c>
      <c r="BF20" s="27">
        <f>VLOOKUP(B20,'Jan''26- Leave Bal'!$B$3:$F$83,5,0)+$BF$3</f>
        <v>0.5</v>
      </c>
      <c r="BG20" s="27">
        <f>VLOOKUP(B20,'Jan''26- Leave Bal'!$B$3:$G$83,6,0)+$BG$3</f>
        <v>11.5</v>
      </c>
      <c r="BH20" s="27">
        <f>VLOOKUP(B20,'Jan''26- Leave Bal'!$B$3:$H$83,7,0)</f>
        <v>15</v>
      </c>
      <c r="BI20" s="27">
        <f>VLOOKUP(B20,'Jan''26- Leave Bal'!$B$3:$I$83,8,0)+$BI$3</f>
        <v>0.75</v>
      </c>
      <c r="BJ20" s="28">
        <f t="shared" si="49"/>
        <v>0</v>
      </c>
      <c r="BK20" s="28">
        <f t="shared" si="50"/>
        <v>0.5</v>
      </c>
      <c r="BL20" s="28">
        <f t="shared" si="51"/>
        <v>0.5</v>
      </c>
      <c r="BM20" s="28">
        <f t="shared" si="52"/>
        <v>1.5</v>
      </c>
      <c r="BN20" s="28">
        <f t="shared" si="53"/>
        <v>0</v>
      </c>
      <c r="BO20" s="28">
        <f t="shared" si="54"/>
        <v>0</v>
      </c>
      <c r="BP20" s="28">
        <f t="shared" si="55"/>
        <v>0</v>
      </c>
      <c r="BQ20" s="26">
        <f t="shared" si="56"/>
        <v>0</v>
      </c>
      <c r="BR20" s="26">
        <f t="shared" si="57"/>
        <v>0</v>
      </c>
      <c r="BS20" s="26">
        <f t="shared" si="58"/>
        <v>10</v>
      </c>
      <c r="BT20" s="26">
        <f t="shared" si="59"/>
        <v>15</v>
      </c>
      <c r="BU20" s="26">
        <f t="shared" si="60"/>
        <v>0.75</v>
      </c>
      <c r="BW20" s="17" t="s">
        <v>254</v>
      </c>
    </row>
    <row r="21" spans="1:75" ht="12" x14ac:dyDescent="0.3">
      <c r="A21" s="18">
        <v>18</v>
      </c>
      <c r="B21" s="18" t="s">
        <v>97</v>
      </c>
      <c r="C21" s="45"/>
      <c r="D21" s="18" t="s">
        <v>57</v>
      </c>
      <c r="E21" s="19" t="s">
        <v>58</v>
      </c>
      <c r="F21" s="18" t="s">
        <v>59</v>
      </c>
      <c r="G21" s="18" t="s">
        <v>77</v>
      </c>
      <c r="H21" s="18">
        <v>9381253076</v>
      </c>
      <c r="I21" s="18" t="s">
        <v>98</v>
      </c>
      <c r="J21" s="35">
        <v>45047</v>
      </c>
      <c r="K21" s="36"/>
      <c r="L21" s="22" t="s">
        <v>17</v>
      </c>
      <c r="M21" s="18" t="s">
        <v>62</v>
      </c>
      <c r="N21" s="22" t="s">
        <v>17</v>
      </c>
      <c r="O21" s="18" t="s">
        <v>18</v>
      </c>
      <c r="P21" s="18" t="s">
        <v>18</v>
      </c>
      <c r="Q21" s="18" t="s">
        <v>62</v>
      </c>
      <c r="R21" s="18" t="s">
        <v>62</v>
      </c>
      <c r="S21" s="18" t="s">
        <v>62</v>
      </c>
      <c r="T21" s="18" t="s">
        <v>62</v>
      </c>
      <c r="U21" s="18" t="s">
        <v>62</v>
      </c>
      <c r="V21" s="18" t="s">
        <v>62</v>
      </c>
      <c r="W21" s="18" t="s">
        <v>62</v>
      </c>
      <c r="X21" s="18" t="s">
        <v>62</v>
      </c>
      <c r="Y21" s="18" t="s">
        <v>62</v>
      </c>
      <c r="Z21" s="22" t="s">
        <v>17</v>
      </c>
      <c r="AA21" s="18" t="s">
        <v>62</v>
      </c>
      <c r="AB21" s="18" t="s">
        <v>62</v>
      </c>
      <c r="AC21" s="18" t="s">
        <v>62</v>
      </c>
      <c r="AD21" s="18" t="s">
        <v>62</v>
      </c>
      <c r="AE21" s="18" t="s">
        <v>17</v>
      </c>
      <c r="AF21" s="18" t="s">
        <v>62</v>
      </c>
      <c r="AG21" s="18" t="s">
        <v>62</v>
      </c>
      <c r="AH21" s="18" t="s">
        <v>62</v>
      </c>
      <c r="AI21" s="18" t="s">
        <v>62</v>
      </c>
      <c r="AJ21" s="18" t="s">
        <v>62</v>
      </c>
      <c r="AK21" s="18" t="s">
        <v>62</v>
      </c>
      <c r="AL21" s="18" t="s">
        <v>62</v>
      </c>
      <c r="AM21" s="18" t="s">
        <v>62</v>
      </c>
      <c r="AN21" s="18">
        <f t="shared" si="33"/>
        <v>22</v>
      </c>
      <c r="AO21" s="18">
        <f t="shared" si="34"/>
        <v>4</v>
      </c>
      <c r="AP21" s="18">
        <f t="shared" si="35"/>
        <v>2</v>
      </c>
      <c r="AQ21" s="18">
        <f>COUNTIF(N21:AM21,"HFL")/2</f>
        <v>0</v>
      </c>
      <c r="AR21" s="18">
        <f t="shared" si="37"/>
        <v>0</v>
      </c>
      <c r="AS21" s="18">
        <f>COUNTIF(N21:AM21,"MG")</f>
        <v>0</v>
      </c>
      <c r="AT21" s="18">
        <f>COUNTIF(N21:AM21,"ML")</f>
        <v>0</v>
      </c>
      <c r="AU21" s="18">
        <f t="shared" si="40"/>
        <v>0</v>
      </c>
      <c r="AV21" s="18">
        <f>COUNTIF(N21:AM21,"MC")</f>
        <v>0</v>
      </c>
      <c r="AW21" s="18">
        <f>COUNTIF(N21:AM21,"BL")</f>
        <v>0</v>
      </c>
      <c r="AX21" s="18">
        <f>COUNTIF(N21:AM21,"MDL")</f>
        <v>0</v>
      </c>
      <c r="AY21" s="18">
        <f>COUNTIF(N21:AM21,"LOP")</f>
        <v>0</v>
      </c>
      <c r="AZ21" s="23">
        <f t="shared" si="45"/>
        <v>28</v>
      </c>
      <c r="BA21" s="18">
        <f t="shared" si="46"/>
        <v>24</v>
      </c>
      <c r="BB21" s="24">
        <f t="shared" si="47"/>
        <v>28</v>
      </c>
      <c r="BC21" s="25">
        <f t="shared" si="48"/>
        <v>0.91666666666666663</v>
      </c>
      <c r="BD21" s="26">
        <f>VLOOKUP(B21,'Jan''26- Leave Bal'!$B$3:$D$83,3,0)</f>
        <v>0</v>
      </c>
      <c r="BE21" s="27">
        <f>VLOOKUP(B21,'Jan''26- Leave Bal'!$B$3:$E$83,4,0)+$BE$3</f>
        <v>1</v>
      </c>
      <c r="BF21" s="27">
        <f>VLOOKUP(B21,'Jan''26- Leave Bal'!$B$3:$F$83,5,0)+$BF$3</f>
        <v>1</v>
      </c>
      <c r="BG21" s="27">
        <f>VLOOKUP(B21,'Jan''26- Leave Bal'!$B$3:$G$83,6,0)+$BG$3</f>
        <v>2</v>
      </c>
      <c r="BH21" s="27">
        <f>VLOOKUP(B21,'Jan''26- Leave Bal'!$B$3:$H$83,7,0)</f>
        <v>15</v>
      </c>
      <c r="BI21" s="27">
        <f>VLOOKUP(B21,'Jan''26- Leave Bal'!$B$3:$I$83,8,0)+$BI$3</f>
        <v>0.75</v>
      </c>
      <c r="BJ21" s="28">
        <f t="shared" si="49"/>
        <v>0</v>
      </c>
      <c r="BK21" s="28">
        <f t="shared" si="50"/>
        <v>1</v>
      </c>
      <c r="BL21" s="28">
        <f t="shared" si="51"/>
        <v>1</v>
      </c>
      <c r="BM21" s="28">
        <f t="shared" si="52"/>
        <v>0</v>
      </c>
      <c r="BN21" s="28">
        <f t="shared" si="53"/>
        <v>0</v>
      </c>
      <c r="BO21" s="28">
        <f t="shared" si="54"/>
        <v>0</v>
      </c>
      <c r="BP21" s="28">
        <f t="shared" si="55"/>
        <v>0</v>
      </c>
      <c r="BQ21" s="26">
        <f t="shared" si="56"/>
        <v>0</v>
      </c>
      <c r="BR21" s="26">
        <f t="shared" si="57"/>
        <v>0</v>
      </c>
      <c r="BS21" s="26">
        <f t="shared" si="58"/>
        <v>2</v>
      </c>
      <c r="BT21" s="26">
        <f t="shared" si="59"/>
        <v>15</v>
      </c>
      <c r="BU21" s="26">
        <f t="shared" si="60"/>
        <v>0.75</v>
      </c>
      <c r="BW21" s="17">
        <v>0</v>
      </c>
    </row>
    <row r="22" spans="1:75" ht="12" x14ac:dyDescent="0.3">
      <c r="A22" s="18">
        <v>19</v>
      </c>
      <c r="B22" s="18" t="s">
        <v>99</v>
      </c>
      <c r="C22" s="45"/>
      <c r="D22" s="18" t="s">
        <v>57</v>
      </c>
      <c r="E22" s="19" t="s">
        <v>58</v>
      </c>
      <c r="F22" s="18" t="s">
        <v>59</v>
      </c>
      <c r="G22" s="18" t="s">
        <v>77</v>
      </c>
      <c r="H22" s="18">
        <v>8374033884</v>
      </c>
      <c r="I22" s="18" t="s">
        <v>100</v>
      </c>
      <c r="J22" s="20">
        <v>45159</v>
      </c>
      <c r="K22" s="21"/>
      <c r="L22" s="18" t="s">
        <v>62</v>
      </c>
      <c r="M22" s="18" t="s">
        <v>62</v>
      </c>
      <c r="N22" s="18" t="s">
        <v>62</v>
      </c>
      <c r="O22" s="18" t="s">
        <v>62</v>
      </c>
      <c r="P22" s="18" t="s">
        <v>62</v>
      </c>
      <c r="Q22" s="18" t="s">
        <v>62</v>
      </c>
      <c r="R22" s="22" t="s">
        <v>17</v>
      </c>
      <c r="S22" s="18" t="s">
        <v>62</v>
      </c>
      <c r="T22" s="18" t="s">
        <v>62</v>
      </c>
      <c r="U22" s="18" t="s">
        <v>62</v>
      </c>
      <c r="V22" s="18" t="s">
        <v>62</v>
      </c>
      <c r="W22" s="18" t="s">
        <v>62</v>
      </c>
      <c r="X22" s="18" t="s">
        <v>18</v>
      </c>
      <c r="Y22" s="22" t="s">
        <v>17</v>
      </c>
      <c r="Z22" s="18" t="s">
        <v>18</v>
      </c>
      <c r="AA22" s="18" t="s">
        <v>62</v>
      </c>
      <c r="AB22" s="18" t="s">
        <v>62</v>
      </c>
      <c r="AC22" s="18" t="s">
        <v>62</v>
      </c>
      <c r="AD22" s="18" t="s">
        <v>62</v>
      </c>
      <c r="AE22" s="18" t="s">
        <v>62</v>
      </c>
      <c r="AF22" s="18" t="s">
        <v>62</v>
      </c>
      <c r="AG22" s="18" t="s">
        <v>17</v>
      </c>
      <c r="AH22" s="18" t="s">
        <v>62</v>
      </c>
      <c r="AI22" s="18" t="s">
        <v>62</v>
      </c>
      <c r="AJ22" s="18" t="s">
        <v>62</v>
      </c>
      <c r="AK22" s="18" t="s">
        <v>62</v>
      </c>
      <c r="AL22" s="18" t="s">
        <v>62</v>
      </c>
      <c r="AM22" s="18" t="s">
        <v>62</v>
      </c>
      <c r="AN22" s="18">
        <f t="shared" si="33"/>
        <v>23</v>
      </c>
      <c r="AO22" s="18">
        <f t="shared" si="34"/>
        <v>3</v>
      </c>
      <c r="AP22" s="18">
        <f t="shared" si="35"/>
        <v>2</v>
      </c>
      <c r="AQ22" s="18">
        <f>COUNTIF(L22:AM22,"HFL")/2</f>
        <v>0</v>
      </c>
      <c r="AR22" s="18">
        <f t="shared" si="37"/>
        <v>0</v>
      </c>
      <c r="AS22" s="18">
        <f>COUNTIF(L22:AM22,"MG")</f>
        <v>0</v>
      </c>
      <c r="AT22" s="18">
        <f>COUNTIF(L22:AM22,"ML")</f>
        <v>0</v>
      </c>
      <c r="AU22" s="18">
        <f t="shared" si="40"/>
        <v>0</v>
      </c>
      <c r="AV22" s="18">
        <f>COUNTIF(L22:AM22,"MC")</f>
        <v>0</v>
      </c>
      <c r="AW22" s="18">
        <f>COUNTIF(L22:AM22,"BL")</f>
        <v>0</v>
      </c>
      <c r="AX22" s="18">
        <f>COUNTIF(L22:AM22,"MDL")</f>
        <v>0</v>
      </c>
      <c r="AY22" s="18">
        <f>COUNTIF(L22:AM22,"LOP")</f>
        <v>0</v>
      </c>
      <c r="AZ22" s="23">
        <f t="shared" si="45"/>
        <v>28</v>
      </c>
      <c r="BA22" s="18">
        <f t="shared" si="46"/>
        <v>25</v>
      </c>
      <c r="BB22" s="24">
        <f t="shared" si="47"/>
        <v>28</v>
      </c>
      <c r="BC22" s="25">
        <f t="shared" si="48"/>
        <v>0.92</v>
      </c>
      <c r="BD22" s="26">
        <f>VLOOKUP(B22,'Jan''26- Leave Bal'!$B$3:$D$83,3,0)</f>
        <v>0</v>
      </c>
      <c r="BE22" s="27">
        <f>VLOOKUP(B22,'Jan''26- Leave Bal'!$B$3:$E$83,4,0)+$BE$3</f>
        <v>0.5</v>
      </c>
      <c r="BF22" s="27">
        <f>VLOOKUP(B22,'Jan''26- Leave Bal'!$B$3:$F$83,5,0)+$BF$3</f>
        <v>0.5</v>
      </c>
      <c r="BG22" s="27">
        <f>VLOOKUP(B22,'Jan''26- Leave Bal'!$B$3:$G$83,6,0)+$BG$3</f>
        <v>3.5</v>
      </c>
      <c r="BH22" s="27">
        <f>VLOOKUP(B22,'Jan''26- Leave Bal'!$B$3:$H$83,7,0)</f>
        <v>15</v>
      </c>
      <c r="BI22" s="27">
        <f>VLOOKUP(B22,'Jan''26- Leave Bal'!$B$3:$I$83,8,0)+$BI$3</f>
        <v>0.75</v>
      </c>
      <c r="BJ22" s="28">
        <f t="shared" si="49"/>
        <v>0</v>
      </c>
      <c r="BK22" s="28">
        <f t="shared" si="50"/>
        <v>0.5</v>
      </c>
      <c r="BL22" s="28">
        <f t="shared" si="51"/>
        <v>0.5</v>
      </c>
      <c r="BM22" s="28">
        <f t="shared" si="52"/>
        <v>1</v>
      </c>
      <c r="BN22" s="28">
        <f t="shared" si="53"/>
        <v>0</v>
      </c>
      <c r="BO22" s="28">
        <f t="shared" si="54"/>
        <v>0</v>
      </c>
      <c r="BP22" s="28">
        <f t="shared" si="55"/>
        <v>0</v>
      </c>
      <c r="BQ22" s="26">
        <f t="shared" si="56"/>
        <v>0</v>
      </c>
      <c r="BR22" s="26">
        <f t="shared" si="57"/>
        <v>0</v>
      </c>
      <c r="BS22" s="26">
        <f t="shared" si="58"/>
        <v>2.5</v>
      </c>
      <c r="BT22" s="26">
        <f t="shared" si="59"/>
        <v>15</v>
      </c>
      <c r="BU22" s="26">
        <f t="shared" si="60"/>
        <v>0.75</v>
      </c>
      <c r="BW22" s="17" t="s">
        <v>254</v>
      </c>
    </row>
    <row r="23" spans="1:75" ht="12" x14ac:dyDescent="0.3">
      <c r="A23" s="18">
        <v>20</v>
      </c>
      <c r="B23" s="18" t="s">
        <v>101</v>
      </c>
      <c r="C23" s="45"/>
      <c r="D23" s="19" t="s">
        <v>58</v>
      </c>
      <c r="E23" s="18"/>
      <c r="F23" s="18" t="s">
        <v>59</v>
      </c>
      <c r="G23" s="18" t="s">
        <v>77</v>
      </c>
      <c r="H23" s="18">
        <v>9542904926</v>
      </c>
      <c r="I23" s="18" t="s">
        <v>102</v>
      </c>
      <c r="J23" s="20">
        <v>44845</v>
      </c>
      <c r="K23" s="21"/>
      <c r="L23" s="18" t="s">
        <v>62</v>
      </c>
      <c r="M23" s="18" t="s">
        <v>62</v>
      </c>
      <c r="N23" s="18" t="s">
        <v>62</v>
      </c>
      <c r="O23" s="18" t="s">
        <v>62</v>
      </c>
      <c r="P23" s="18" t="s">
        <v>62</v>
      </c>
      <c r="Q23" s="18" t="s">
        <v>62</v>
      </c>
      <c r="R23" s="18" t="s">
        <v>62</v>
      </c>
      <c r="S23" s="18" t="s">
        <v>17</v>
      </c>
      <c r="T23" s="18" t="s">
        <v>62</v>
      </c>
      <c r="U23" s="18" t="s">
        <v>62</v>
      </c>
      <c r="V23" s="23" t="s">
        <v>62</v>
      </c>
      <c r="W23" s="18" t="s">
        <v>62</v>
      </c>
      <c r="X23" s="18" t="s">
        <v>62</v>
      </c>
      <c r="Y23" s="18" t="s">
        <v>62</v>
      </c>
      <c r="Z23" s="22" t="s">
        <v>17</v>
      </c>
      <c r="AA23" s="18" t="s">
        <v>62</v>
      </c>
      <c r="AB23" s="18" t="s">
        <v>62</v>
      </c>
      <c r="AC23" s="18" t="s">
        <v>62</v>
      </c>
      <c r="AD23" s="18" t="s">
        <v>62</v>
      </c>
      <c r="AE23" s="18" t="s">
        <v>62</v>
      </c>
      <c r="AF23" s="18" t="s">
        <v>62</v>
      </c>
      <c r="AG23" s="18" t="s">
        <v>17</v>
      </c>
      <c r="AH23" s="18" t="s">
        <v>62</v>
      </c>
      <c r="AI23" s="18" t="s">
        <v>62</v>
      </c>
      <c r="AJ23" s="18" t="s">
        <v>62</v>
      </c>
      <c r="AK23" s="18" t="s">
        <v>62</v>
      </c>
      <c r="AL23" s="18" t="s">
        <v>62</v>
      </c>
      <c r="AM23" s="18" t="s">
        <v>62</v>
      </c>
      <c r="AN23" s="18">
        <f t="shared" si="33"/>
        <v>25</v>
      </c>
      <c r="AO23" s="18">
        <f t="shared" si="34"/>
        <v>3</v>
      </c>
      <c r="AP23" s="18">
        <f t="shared" si="35"/>
        <v>0</v>
      </c>
      <c r="AQ23" s="18">
        <f>COUNTIF(L23:AM23,"HFL")/2</f>
        <v>0</v>
      </c>
      <c r="AR23" s="18">
        <f t="shared" si="37"/>
        <v>0</v>
      </c>
      <c r="AS23" s="18">
        <f>COUNTIF(L23:AM23,"MG")</f>
        <v>0</v>
      </c>
      <c r="AT23" s="18">
        <f>COUNTIF(L23:AM23,"ML")</f>
        <v>0</v>
      </c>
      <c r="AU23" s="18">
        <f t="shared" si="40"/>
        <v>0</v>
      </c>
      <c r="AV23" s="18">
        <f>COUNTIF(L23:AM23,"MC")</f>
        <v>0</v>
      </c>
      <c r="AW23" s="18">
        <f>COUNTIF(L23:AM23,"BL")</f>
        <v>0</v>
      </c>
      <c r="AX23" s="18">
        <f>COUNTIF(L23:AM23,"MDL")</f>
        <v>0</v>
      </c>
      <c r="AY23" s="18">
        <f>COUNTIF(L23:AM23,"LOP")</f>
        <v>0</v>
      </c>
      <c r="AZ23" s="23">
        <f t="shared" si="45"/>
        <v>28</v>
      </c>
      <c r="BA23" s="18">
        <f t="shared" si="46"/>
        <v>25</v>
      </c>
      <c r="BB23" s="24">
        <f t="shared" si="47"/>
        <v>28</v>
      </c>
      <c r="BC23" s="25">
        <f t="shared" si="48"/>
        <v>1</v>
      </c>
      <c r="BD23" s="26">
        <f>VLOOKUP(B23,'Jan''26- Leave Bal'!$B$3:$D$83,3,0)</f>
        <v>0</v>
      </c>
      <c r="BE23" s="27">
        <f>VLOOKUP(B23,'Jan''26- Leave Bal'!$B$3:$E$83,4,0)+$BE$3</f>
        <v>0.5</v>
      </c>
      <c r="BF23" s="27">
        <f>VLOOKUP(B23,'Jan''26- Leave Bal'!$B$3:$F$83,5,0)+$BF$3</f>
        <v>0.5</v>
      </c>
      <c r="BG23" s="27">
        <f>VLOOKUP(B23,'Jan''26- Leave Bal'!$B$3:$G$83,6,0)+$BG$3</f>
        <v>1</v>
      </c>
      <c r="BH23" s="27">
        <f>VLOOKUP(B23,'Jan''26- Leave Bal'!$B$3:$H$83,7,0)</f>
        <v>15</v>
      </c>
      <c r="BI23" s="27">
        <f>VLOOKUP(B23,'Jan''26- Leave Bal'!$B$3:$I$83,8,0)+$BI$3</f>
        <v>0.75</v>
      </c>
      <c r="BJ23" s="28">
        <f t="shared" si="49"/>
        <v>0</v>
      </c>
      <c r="BK23" s="28">
        <f t="shared" si="50"/>
        <v>0</v>
      </c>
      <c r="BL23" s="28">
        <f t="shared" si="51"/>
        <v>0</v>
      </c>
      <c r="BM23" s="28">
        <f t="shared" si="52"/>
        <v>0</v>
      </c>
      <c r="BN23" s="28">
        <f t="shared" si="53"/>
        <v>0</v>
      </c>
      <c r="BO23" s="28">
        <f t="shared" si="54"/>
        <v>0</v>
      </c>
      <c r="BP23" s="28">
        <f t="shared" si="55"/>
        <v>0</v>
      </c>
      <c r="BQ23" s="26">
        <f t="shared" si="56"/>
        <v>0.5</v>
      </c>
      <c r="BR23" s="26">
        <f t="shared" si="57"/>
        <v>0.5</v>
      </c>
      <c r="BS23" s="26">
        <f t="shared" si="58"/>
        <v>1</v>
      </c>
      <c r="BT23" s="26">
        <f t="shared" si="59"/>
        <v>15</v>
      </c>
      <c r="BU23" s="26">
        <f t="shared" si="60"/>
        <v>0.75</v>
      </c>
      <c r="BW23" s="17" t="s">
        <v>254</v>
      </c>
    </row>
    <row r="24" spans="1:75" ht="12" x14ac:dyDescent="0.3">
      <c r="A24" s="18">
        <v>21</v>
      </c>
      <c r="B24" s="18" t="s">
        <v>103</v>
      </c>
      <c r="C24" s="45"/>
      <c r="D24" s="18" t="s">
        <v>57</v>
      </c>
      <c r="E24" s="19" t="s">
        <v>58</v>
      </c>
      <c r="F24" s="18" t="s">
        <v>104</v>
      </c>
      <c r="G24" s="18" t="s">
        <v>60</v>
      </c>
      <c r="H24" s="18">
        <v>7731030574</v>
      </c>
      <c r="I24" s="18" t="s">
        <v>105</v>
      </c>
      <c r="J24" s="20">
        <v>44845</v>
      </c>
      <c r="K24" s="21"/>
      <c r="L24" s="18" t="s">
        <v>62</v>
      </c>
      <c r="M24" s="18" t="s">
        <v>62</v>
      </c>
      <c r="N24" s="18" t="s">
        <v>18</v>
      </c>
      <c r="O24" s="22" t="s">
        <v>17</v>
      </c>
      <c r="P24" s="18" t="s">
        <v>62</v>
      </c>
      <c r="Q24" s="18" t="s">
        <v>62</v>
      </c>
      <c r="R24" s="18" t="s">
        <v>62</v>
      </c>
      <c r="S24" s="18" t="s">
        <v>18</v>
      </c>
      <c r="T24" s="18" t="s">
        <v>62</v>
      </c>
      <c r="U24" s="18" t="s">
        <v>62</v>
      </c>
      <c r="V24" s="18" t="s">
        <v>62</v>
      </c>
      <c r="W24" s="18" t="s">
        <v>62</v>
      </c>
      <c r="X24" s="18" t="s">
        <v>62</v>
      </c>
      <c r="Y24" s="18" t="s">
        <v>62</v>
      </c>
      <c r="Z24" s="22" t="s">
        <v>17</v>
      </c>
      <c r="AA24" s="18" t="s">
        <v>62</v>
      </c>
      <c r="AB24" s="18" t="s">
        <v>62</v>
      </c>
      <c r="AC24" s="18" t="s">
        <v>62</v>
      </c>
      <c r="AD24" s="18" t="s">
        <v>62</v>
      </c>
      <c r="AE24" s="18" t="s">
        <v>62</v>
      </c>
      <c r="AF24" s="18" t="s">
        <v>62</v>
      </c>
      <c r="AG24" s="18" t="s">
        <v>17</v>
      </c>
      <c r="AH24" s="18" t="s">
        <v>62</v>
      </c>
      <c r="AI24" s="18" t="s">
        <v>62</v>
      </c>
      <c r="AJ24" s="18" t="s">
        <v>17</v>
      </c>
      <c r="AK24" s="18" t="s">
        <v>19</v>
      </c>
      <c r="AL24" s="18" t="s">
        <v>62</v>
      </c>
      <c r="AM24" s="18" t="s">
        <v>62</v>
      </c>
      <c r="AN24" s="18">
        <f t="shared" si="33"/>
        <v>21.5</v>
      </c>
      <c r="AO24" s="18">
        <f t="shared" si="34"/>
        <v>4</v>
      </c>
      <c r="AP24" s="18">
        <f t="shared" si="35"/>
        <v>2</v>
      </c>
      <c r="AQ24" s="18">
        <f>COUNTIF(L24:AM24,"HFL")/2</f>
        <v>0.5</v>
      </c>
      <c r="AR24" s="18">
        <f t="shared" si="37"/>
        <v>0</v>
      </c>
      <c r="AS24" s="18">
        <f>COUNTIF(L24:AM24,"MG")</f>
        <v>0</v>
      </c>
      <c r="AT24" s="18">
        <f>COUNTIF(L24:AM24,"ML")</f>
        <v>0</v>
      </c>
      <c r="AU24" s="18">
        <f t="shared" si="40"/>
        <v>0</v>
      </c>
      <c r="AV24" s="18">
        <f>COUNTIF(L24:AM24,"MC")</f>
        <v>0</v>
      </c>
      <c r="AW24" s="18">
        <f>COUNTIF(L24:AM24,"BL")</f>
        <v>0</v>
      </c>
      <c r="AX24" s="18">
        <f>COUNTIF(L24:AM24,"MDL")</f>
        <v>0</v>
      </c>
      <c r="AY24" s="18">
        <f>COUNTIF(L24:AM24,"LOP")</f>
        <v>0</v>
      </c>
      <c r="AZ24" s="23">
        <f t="shared" si="45"/>
        <v>28</v>
      </c>
      <c r="BA24" s="18">
        <f t="shared" si="46"/>
        <v>24</v>
      </c>
      <c r="BB24" s="24">
        <f t="shared" si="47"/>
        <v>28</v>
      </c>
      <c r="BC24" s="25">
        <f t="shared" si="48"/>
        <v>0.89583333333333337</v>
      </c>
      <c r="BD24" s="26">
        <f>VLOOKUP(B24,'Jan''26- Leave Bal'!$B$3:$D$83,3,0)</f>
        <v>0</v>
      </c>
      <c r="BE24" s="27">
        <f>VLOOKUP(B24,'Jan''26- Leave Bal'!$B$3:$E$83,4,0)+$BE$3</f>
        <v>0.5</v>
      </c>
      <c r="BF24" s="27">
        <f>VLOOKUP(B24,'Jan''26- Leave Bal'!$B$3:$F$83,5,0)+$BF$3</f>
        <v>0.5</v>
      </c>
      <c r="BG24" s="27">
        <f>VLOOKUP(B24,'Jan''26- Leave Bal'!$B$3:$G$83,6,0)+$BG$3</f>
        <v>3.3</v>
      </c>
      <c r="BH24" s="27">
        <f>VLOOKUP(B24,'Jan''26- Leave Bal'!$B$3:$H$83,7,0)</f>
        <v>15</v>
      </c>
      <c r="BI24" s="27">
        <f>VLOOKUP(B24,'Jan''26- Leave Bal'!$B$3:$I$83,8,0)+$BI$3</f>
        <v>0.75</v>
      </c>
      <c r="BJ24" s="28">
        <f t="shared" si="49"/>
        <v>0</v>
      </c>
      <c r="BK24" s="28">
        <f t="shared" si="50"/>
        <v>0.5</v>
      </c>
      <c r="BL24" s="28">
        <f t="shared" si="51"/>
        <v>0.5</v>
      </c>
      <c r="BM24" s="28">
        <f t="shared" si="52"/>
        <v>1.5</v>
      </c>
      <c r="BN24" s="28">
        <f t="shared" si="53"/>
        <v>0</v>
      </c>
      <c r="BO24" s="28">
        <f t="shared" si="54"/>
        <v>0</v>
      </c>
      <c r="BP24" s="28">
        <f t="shared" si="55"/>
        <v>0</v>
      </c>
      <c r="BQ24" s="26">
        <f t="shared" si="56"/>
        <v>0</v>
      </c>
      <c r="BR24" s="26">
        <f t="shared" si="57"/>
        <v>0</v>
      </c>
      <c r="BS24" s="26">
        <f t="shared" si="58"/>
        <v>1.7999999999999998</v>
      </c>
      <c r="BT24" s="26">
        <f t="shared" si="59"/>
        <v>15</v>
      </c>
      <c r="BU24" s="26">
        <f t="shared" si="60"/>
        <v>0.75</v>
      </c>
      <c r="BW24" s="17" t="s">
        <v>254</v>
      </c>
    </row>
    <row r="25" spans="1:75" ht="12" x14ac:dyDescent="0.3">
      <c r="A25" s="18">
        <v>22</v>
      </c>
      <c r="B25" s="18" t="s">
        <v>106</v>
      </c>
      <c r="C25" s="45"/>
      <c r="D25" s="18" t="s">
        <v>57</v>
      </c>
      <c r="E25" s="19" t="s">
        <v>58</v>
      </c>
      <c r="F25" s="37" t="s">
        <v>104</v>
      </c>
      <c r="G25" s="18" t="s">
        <v>60</v>
      </c>
      <c r="H25" s="18">
        <v>7893787813</v>
      </c>
      <c r="I25" s="18" t="s">
        <v>107</v>
      </c>
      <c r="J25" s="20">
        <v>44431</v>
      </c>
      <c r="K25" s="21"/>
      <c r="L25" s="18" t="s">
        <v>62</v>
      </c>
      <c r="M25" s="18" t="s">
        <v>62</v>
      </c>
      <c r="N25" s="18" t="s">
        <v>62</v>
      </c>
      <c r="O25" s="18" t="s">
        <v>62</v>
      </c>
      <c r="P25" s="18" t="s">
        <v>62</v>
      </c>
      <c r="Q25" s="18" t="s">
        <v>62</v>
      </c>
      <c r="R25" s="18" t="s">
        <v>62</v>
      </c>
      <c r="S25" s="22" t="s">
        <v>17</v>
      </c>
      <c r="T25" s="18" t="s">
        <v>62</v>
      </c>
      <c r="U25" s="18" t="s">
        <v>62</v>
      </c>
      <c r="V25" s="18" t="s">
        <v>62</v>
      </c>
      <c r="W25" s="18" t="s">
        <v>62</v>
      </c>
      <c r="X25" s="18" t="s">
        <v>62</v>
      </c>
      <c r="Y25" s="18" t="s">
        <v>62</v>
      </c>
      <c r="Z25" s="22" t="s">
        <v>17</v>
      </c>
      <c r="AA25" s="18" t="s">
        <v>18</v>
      </c>
      <c r="AB25" s="18" t="s">
        <v>62</v>
      </c>
      <c r="AC25" s="18" t="s">
        <v>62</v>
      </c>
      <c r="AD25" s="18" t="s">
        <v>62</v>
      </c>
      <c r="AE25" s="18" t="s">
        <v>62</v>
      </c>
      <c r="AF25" s="18" t="s">
        <v>17</v>
      </c>
      <c r="AG25" s="18" t="s">
        <v>62</v>
      </c>
      <c r="AH25" s="18" t="s">
        <v>62</v>
      </c>
      <c r="AI25" s="18" t="s">
        <v>62</v>
      </c>
      <c r="AJ25" s="18" t="s">
        <v>62</v>
      </c>
      <c r="AK25" s="18" t="s">
        <v>62</v>
      </c>
      <c r="AL25" s="18" t="s">
        <v>62</v>
      </c>
      <c r="AM25" s="18" t="s">
        <v>62</v>
      </c>
      <c r="AN25" s="18">
        <f t="shared" si="33"/>
        <v>24</v>
      </c>
      <c r="AO25" s="18">
        <f t="shared" si="34"/>
        <v>3</v>
      </c>
      <c r="AP25" s="18">
        <f t="shared" si="35"/>
        <v>1</v>
      </c>
      <c r="AQ25" s="18">
        <f>COUNTIF(L25:AM25,"HFL")/2</f>
        <v>0</v>
      </c>
      <c r="AR25" s="18">
        <f t="shared" si="37"/>
        <v>0</v>
      </c>
      <c r="AS25" s="18">
        <f>COUNTIF(L25:AM25,"MG")</f>
        <v>0</v>
      </c>
      <c r="AT25" s="18">
        <f>COUNTIF(L25:AM25,"ML")</f>
        <v>0</v>
      </c>
      <c r="AU25" s="18">
        <f t="shared" si="40"/>
        <v>0</v>
      </c>
      <c r="AV25" s="18">
        <f>COUNTIF(L25:AM25,"MC")</f>
        <v>0</v>
      </c>
      <c r="AW25" s="18">
        <f>COUNTIF(L25:AM25,"BL")</f>
        <v>0</v>
      </c>
      <c r="AX25" s="18">
        <f>COUNTIF(L25:AM25,"MDL")</f>
        <v>0</v>
      </c>
      <c r="AY25" s="18">
        <f>COUNTIF(L25:AM25,"LOP")</f>
        <v>0</v>
      </c>
      <c r="AZ25" s="23">
        <f t="shared" si="45"/>
        <v>28</v>
      </c>
      <c r="BA25" s="18">
        <f t="shared" si="46"/>
        <v>25</v>
      </c>
      <c r="BB25" s="24">
        <f t="shared" si="47"/>
        <v>28</v>
      </c>
      <c r="BC25" s="25">
        <f t="shared" si="48"/>
        <v>0.96</v>
      </c>
      <c r="BD25" s="26">
        <f>VLOOKUP(B25,'Jan''26- Leave Bal'!$B$3:$D$83,3,0)</f>
        <v>0</v>
      </c>
      <c r="BE25" s="27">
        <f>VLOOKUP(B25,'Jan''26- Leave Bal'!$B$3:$E$83,4,0)+$BE$3</f>
        <v>0.5</v>
      </c>
      <c r="BF25" s="27">
        <f>VLOOKUP(B25,'Jan''26- Leave Bal'!$B$3:$F$83,5,0)+$BF$3</f>
        <v>0.5</v>
      </c>
      <c r="BG25" s="27">
        <f>VLOOKUP(B25,'Jan''26- Leave Bal'!$B$3:$G$83,6,0)+$BG$3</f>
        <v>3</v>
      </c>
      <c r="BH25" s="27">
        <f>VLOOKUP(B25,'Jan''26- Leave Bal'!$B$3:$H$83,7,0)</f>
        <v>15</v>
      </c>
      <c r="BI25" s="27">
        <f>VLOOKUP(B25,'Jan''26- Leave Bal'!$B$3:$I$83,8,0)+$BI$3</f>
        <v>0.75</v>
      </c>
      <c r="BJ25" s="28">
        <f t="shared" si="49"/>
        <v>0</v>
      </c>
      <c r="BK25" s="28">
        <f t="shared" si="50"/>
        <v>0.5</v>
      </c>
      <c r="BL25" s="28">
        <f t="shared" si="51"/>
        <v>0.5</v>
      </c>
      <c r="BM25" s="28">
        <f t="shared" si="52"/>
        <v>0</v>
      </c>
      <c r="BN25" s="28">
        <f t="shared" si="53"/>
        <v>0</v>
      </c>
      <c r="BO25" s="28">
        <f t="shared" si="54"/>
        <v>0</v>
      </c>
      <c r="BP25" s="28">
        <f t="shared" si="55"/>
        <v>0</v>
      </c>
      <c r="BQ25" s="26">
        <f t="shared" si="56"/>
        <v>0</v>
      </c>
      <c r="BR25" s="26">
        <f t="shared" si="57"/>
        <v>0</v>
      </c>
      <c r="BS25" s="26">
        <f t="shared" si="58"/>
        <v>3</v>
      </c>
      <c r="BT25" s="26">
        <f t="shared" si="59"/>
        <v>15</v>
      </c>
      <c r="BU25" s="26">
        <f t="shared" si="60"/>
        <v>0.75</v>
      </c>
      <c r="BW25" s="17" t="s">
        <v>254</v>
      </c>
    </row>
    <row r="26" spans="1:75" ht="12" x14ac:dyDescent="0.3">
      <c r="A26" s="18">
        <v>23</v>
      </c>
      <c r="B26" s="18" t="s">
        <v>108</v>
      </c>
      <c r="C26" s="45"/>
      <c r="D26" s="18" t="s">
        <v>57</v>
      </c>
      <c r="E26" s="19" t="s">
        <v>58</v>
      </c>
      <c r="F26" s="37" t="s">
        <v>104</v>
      </c>
      <c r="G26" s="18" t="s">
        <v>60</v>
      </c>
      <c r="H26" s="18">
        <v>6300868596</v>
      </c>
      <c r="I26" s="18" t="s">
        <v>109</v>
      </c>
      <c r="J26" s="20">
        <v>45033</v>
      </c>
      <c r="K26" s="21"/>
      <c r="L26" s="22" t="s">
        <v>17</v>
      </c>
      <c r="M26" s="18" t="s">
        <v>62</v>
      </c>
      <c r="N26" s="18" t="s">
        <v>62</v>
      </c>
      <c r="O26" s="22" t="s">
        <v>62</v>
      </c>
      <c r="P26" s="18" t="s">
        <v>62</v>
      </c>
      <c r="Q26" s="18" t="s">
        <v>62</v>
      </c>
      <c r="R26" s="18" t="s">
        <v>62</v>
      </c>
      <c r="S26" s="22" t="s">
        <v>17</v>
      </c>
      <c r="T26" s="22" t="s">
        <v>62</v>
      </c>
      <c r="U26" s="18" t="s">
        <v>62</v>
      </c>
      <c r="V26" s="18" t="s">
        <v>62</v>
      </c>
      <c r="W26" s="18" t="s">
        <v>62</v>
      </c>
      <c r="X26" s="18" t="s">
        <v>18</v>
      </c>
      <c r="Y26" s="22" t="s">
        <v>62</v>
      </c>
      <c r="Z26" s="22" t="s">
        <v>17</v>
      </c>
      <c r="AA26" s="18" t="s">
        <v>62</v>
      </c>
      <c r="AB26" s="18" t="s">
        <v>62</v>
      </c>
      <c r="AC26" s="18" t="s">
        <v>62</v>
      </c>
      <c r="AD26" s="18" t="s">
        <v>62</v>
      </c>
      <c r="AE26" s="18" t="s">
        <v>62</v>
      </c>
      <c r="AF26" s="18" t="s">
        <v>62</v>
      </c>
      <c r="AG26" s="18" t="s">
        <v>17</v>
      </c>
      <c r="AH26" s="18" t="s">
        <v>62</v>
      </c>
      <c r="AI26" s="18" t="s">
        <v>62</v>
      </c>
      <c r="AJ26" s="18" t="s">
        <v>62</v>
      </c>
      <c r="AK26" s="18" t="s">
        <v>62</v>
      </c>
      <c r="AL26" s="18" t="s">
        <v>17</v>
      </c>
      <c r="AM26" s="18" t="s">
        <v>62</v>
      </c>
      <c r="AN26" s="18">
        <f t="shared" si="33"/>
        <v>22</v>
      </c>
      <c r="AO26" s="18">
        <f>COUNTIF(L26:AL26,"W/O")</f>
        <v>5</v>
      </c>
      <c r="AP26" s="18">
        <f>COUNTIF(L26:AL26,"L")</f>
        <v>1</v>
      </c>
      <c r="AQ26" s="18">
        <f>COUNTIF(L26:AL26,"HFL")/2</f>
        <v>0</v>
      </c>
      <c r="AR26" s="18">
        <f>COUNTIF(L26:AL26,"H")</f>
        <v>0</v>
      </c>
      <c r="AS26" s="18">
        <f>COUNTIF(L26:AL26,"MG")</f>
        <v>0</v>
      </c>
      <c r="AT26" s="18">
        <f>COUNTIF(L26:AL26,"ML")</f>
        <v>0</v>
      </c>
      <c r="AU26" s="18">
        <f>COUNTIF(L26:AL26,"UL")</f>
        <v>0</v>
      </c>
      <c r="AV26" s="18">
        <f>COUNTIF(L26:AL26,"MC")</f>
        <v>0</v>
      </c>
      <c r="AW26" s="18">
        <f>COUNTIF(L26:AL26,"BL")</f>
        <v>0</v>
      </c>
      <c r="AX26" s="18">
        <f>COUNTIF(L26:AL26,"MDL")</f>
        <v>0</v>
      </c>
      <c r="AY26" s="18">
        <f>COUNTIF(L26:AL26,"LOP")</f>
        <v>0</v>
      </c>
      <c r="AZ26" s="23">
        <f t="shared" si="45"/>
        <v>28</v>
      </c>
      <c r="BA26" s="18">
        <f t="shared" si="46"/>
        <v>23</v>
      </c>
      <c r="BB26" s="24">
        <f t="shared" si="47"/>
        <v>28</v>
      </c>
      <c r="BC26" s="25">
        <f t="shared" si="48"/>
        <v>0.95652173913043481</v>
      </c>
      <c r="BD26" s="26">
        <f>VLOOKUP(B26,'Jan''26- Leave Bal'!$B$3:$D$83,3,0)</f>
        <v>0</v>
      </c>
      <c r="BE26" s="27">
        <f>VLOOKUP(B26,'Jan''26- Leave Bal'!$B$3:$E$83,4,0)+$BE$3</f>
        <v>0.5</v>
      </c>
      <c r="BF26" s="27">
        <f>VLOOKUP(B26,'Jan''26- Leave Bal'!$B$3:$F$83,5,0)+$BF$3</f>
        <v>0.5</v>
      </c>
      <c r="BG26" s="27">
        <f>VLOOKUP(B26,'Jan''26- Leave Bal'!$B$3:$G$83,6,0)+$BG$3</f>
        <v>3</v>
      </c>
      <c r="BH26" s="27">
        <f>VLOOKUP(B26,'Jan''26- Leave Bal'!$B$3:$H$83,7,0)</f>
        <v>0</v>
      </c>
      <c r="BI26" s="27">
        <f>VLOOKUP(B26,'Jan''26- Leave Bal'!$B$3:$I$83,8,0)+$BI$3</f>
        <v>0.75</v>
      </c>
      <c r="BJ26" s="28">
        <f t="shared" si="49"/>
        <v>0</v>
      </c>
      <c r="BK26" s="28">
        <f t="shared" si="50"/>
        <v>0.5</v>
      </c>
      <c r="BL26" s="28">
        <f t="shared" si="51"/>
        <v>0.5</v>
      </c>
      <c r="BM26" s="28">
        <f t="shared" si="52"/>
        <v>0</v>
      </c>
      <c r="BN26" s="28">
        <f t="shared" si="53"/>
        <v>0</v>
      </c>
      <c r="BO26" s="28">
        <f t="shared" si="54"/>
        <v>0</v>
      </c>
      <c r="BP26" s="28">
        <f t="shared" si="55"/>
        <v>0</v>
      </c>
      <c r="BQ26" s="26">
        <f t="shared" si="56"/>
        <v>0</v>
      </c>
      <c r="BR26" s="26">
        <f t="shared" si="57"/>
        <v>0</v>
      </c>
      <c r="BS26" s="26">
        <f t="shared" si="58"/>
        <v>3</v>
      </c>
      <c r="BT26" s="26">
        <f t="shared" si="59"/>
        <v>0</v>
      </c>
      <c r="BU26" s="26">
        <f t="shared" si="60"/>
        <v>0.75</v>
      </c>
      <c r="BV26" s="17" t="s">
        <v>253</v>
      </c>
      <c r="BW26" s="17">
        <v>0</v>
      </c>
    </row>
    <row r="27" spans="1:75" ht="12" x14ac:dyDescent="0.3">
      <c r="A27" s="18">
        <v>24</v>
      </c>
      <c r="B27" s="18" t="s">
        <v>110</v>
      </c>
      <c r="C27" s="45"/>
      <c r="D27" s="18" t="s">
        <v>57</v>
      </c>
      <c r="E27" s="19" t="s">
        <v>58</v>
      </c>
      <c r="F27" s="18" t="s">
        <v>104</v>
      </c>
      <c r="G27" s="18" t="s">
        <v>60</v>
      </c>
      <c r="H27" s="18">
        <v>6302885706</v>
      </c>
      <c r="I27" s="18" t="s">
        <v>111</v>
      </c>
      <c r="J27" s="20">
        <v>44909</v>
      </c>
      <c r="K27" s="21"/>
      <c r="L27" s="18" t="s">
        <v>62</v>
      </c>
      <c r="M27" s="18" t="s">
        <v>62</v>
      </c>
      <c r="N27" s="18" t="s">
        <v>62</v>
      </c>
      <c r="O27" s="22" t="s">
        <v>17</v>
      </c>
      <c r="P27" s="22" t="s">
        <v>62</v>
      </c>
      <c r="Q27" s="18" t="s">
        <v>62</v>
      </c>
      <c r="R27" s="18" t="s">
        <v>62</v>
      </c>
      <c r="S27" s="18" t="s">
        <v>62</v>
      </c>
      <c r="T27" s="18" t="s">
        <v>62</v>
      </c>
      <c r="U27" s="18" t="s">
        <v>62</v>
      </c>
      <c r="V27" s="18" t="s">
        <v>62</v>
      </c>
      <c r="W27" s="18" t="s">
        <v>62</v>
      </c>
      <c r="X27" s="18" t="s">
        <v>62</v>
      </c>
      <c r="Y27" s="18" t="s">
        <v>62</v>
      </c>
      <c r="Z27" s="22" t="s">
        <v>17</v>
      </c>
      <c r="AA27" s="18" t="s">
        <v>62</v>
      </c>
      <c r="AB27" s="18" t="s">
        <v>62</v>
      </c>
      <c r="AC27" s="18" t="s">
        <v>62</v>
      </c>
      <c r="AD27" s="18" t="s">
        <v>62</v>
      </c>
      <c r="AE27" s="18" t="s">
        <v>17</v>
      </c>
      <c r="AF27" s="18" t="s">
        <v>62</v>
      </c>
      <c r="AG27" s="18" t="s">
        <v>62</v>
      </c>
      <c r="AH27" s="18" t="s">
        <v>18</v>
      </c>
      <c r="AI27" s="18" t="s">
        <v>18</v>
      </c>
      <c r="AJ27" s="18" t="s">
        <v>62</v>
      </c>
      <c r="AK27" s="18" t="s">
        <v>62</v>
      </c>
      <c r="AL27" s="18" t="s">
        <v>62</v>
      </c>
      <c r="AM27" s="18" t="s">
        <v>62</v>
      </c>
      <c r="AN27" s="18">
        <f t="shared" si="33"/>
        <v>23</v>
      </c>
      <c r="AO27" s="18">
        <f t="shared" ref="AO27:AO69" si="61">COUNTIF(L27:AM27,"W/O")</f>
        <v>3</v>
      </c>
      <c r="AP27" s="18">
        <f t="shared" ref="AP27:AP69" si="62">COUNTIF(L27:AM27,"L")</f>
        <v>2</v>
      </c>
      <c r="AQ27" s="18">
        <f t="shared" ref="AQ27:AQ41" si="63">COUNTIF(L27:AM27,"HFL")/2</f>
        <v>0</v>
      </c>
      <c r="AR27" s="18">
        <f t="shared" ref="AR27:AR69" si="64">COUNTIF(L27:AM27,"H")</f>
        <v>0</v>
      </c>
      <c r="AS27" s="18">
        <f t="shared" ref="AS27:AS41" si="65">COUNTIF(L27:AM27,"MG")</f>
        <v>0</v>
      </c>
      <c r="AT27" s="18">
        <f t="shared" ref="AT27:AT41" si="66">COUNTIF(L27:AM27,"ML")</f>
        <v>0</v>
      </c>
      <c r="AU27" s="18">
        <f t="shared" ref="AU27:AU41" si="67">COUNTIF(L27:AM27,"UL")</f>
        <v>0</v>
      </c>
      <c r="AV27" s="18">
        <f t="shared" ref="AV27:AV41" si="68">COUNTIF(L27:AM27,"MC")</f>
        <v>0</v>
      </c>
      <c r="AW27" s="18">
        <f t="shared" ref="AW27:AW41" si="69">COUNTIF(L27:AM27,"BL")</f>
        <v>0</v>
      </c>
      <c r="AX27" s="18">
        <f t="shared" ref="AX27:AX41" si="70">COUNTIF(L27:AM27,"MDL")</f>
        <v>0</v>
      </c>
      <c r="AY27" s="18">
        <f t="shared" ref="AY27:AY41" si="71">COUNTIF(L27:AM27,"LOP")</f>
        <v>0</v>
      </c>
      <c r="AZ27" s="23">
        <f t="shared" si="45"/>
        <v>28</v>
      </c>
      <c r="BA27" s="18">
        <f t="shared" si="46"/>
        <v>25</v>
      </c>
      <c r="BB27" s="24">
        <f t="shared" si="47"/>
        <v>28</v>
      </c>
      <c r="BC27" s="25">
        <f t="shared" si="48"/>
        <v>0.92</v>
      </c>
      <c r="BD27" s="26">
        <f>VLOOKUP(B27,'Jan''26- Leave Bal'!$B$3:$D$83,3,0)</f>
        <v>0</v>
      </c>
      <c r="BE27" s="27">
        <f>VLOOKUP(B27,'Jan''26- Leave Bal'!$B$3:$E$83,4,0)+$BE$3</f>
        <v>0.5</v>
      </c>
      <c r="BF27" s="27">
        <f>VLOOKUP(B27,'Jan''26- Leave Bal'!$B$3:$F$83,5,0)+$BF$3</f>
        <v>0.5</v>
      </c>
      <c r="BG27" s="27">
        <f>VLOOKUP(B27,'Jan''26- Leave Bal'!$B$3:$G$83,6,0)+$BG$3</f>
        <v>1</v>
      </c>
      <c r="BH27" s="27">
        <f>VLOOKUP(B27,'Jan''26- Leave Bal'!$B$3:$H$83,7,0)</f>
        <v>15</v>
      </c>
      <c r="BI27" s="27">
        <f>VLOOKUP(B27,'Jan''26- Leave Bal'!$B$3:$I$83,8,0)+$BI$3</f>
        <v>0.75</v>
      </c>
      <c r="BJ27" s="28">
        <f t="shared" si="49"/>
        <v>0</v>
      </c>
      <c r="BK27" s="28">
        <f t="shared" si="50"/>
        <v>0.5</v>
      </c>
      <c r="BL27" s="28">
        <f t="shared" si="51"/>
        <v>0.5</v>
      </c>
      <c r="BM27" s="28">
        <f t="shared" si="52"/>
        <v>1</v>
      </c>
      <c r="BN27" s="28">
        <f t="shared" si="53"/>
        <v>0</v>
      </c>
      <c r="BO27" s="28">
        <f t="shared" si="54"/>
        <v>0</v>
      </c>
      <c r="BP27" s="28">
        <f t="shared" si="55"/>
        <v>0</v>
      </c>
      <c r="BQ27" s="26">
        <f t="shared" si="56"/>
        <v>0</v>
      </c>
      <c r="BR27" s="26">
        <f t="shared" si="57"/>
        <v>0</v>
      </c>
      <c r="BS27" s="26">
        <f t="shared" si="58"/>
        <v>0</v>
      </c>
      <c r="BT27" s="26">
        <f t="shared" si="59"/>
        <v>15</v>
      </c>
      <c r="BU27" s="26">
        <f t="shared" si="60"/>
        <v>0.75</v>
      </c>
      <c r="BW27" s="17" t="s">
        <v>254</v>
      </c>
    </row>
    <row r="28" spans="1:75" ht="12" x14ac:dyDescent="0.3">
      <c r="A28" s="18">
        <v>25</v>
      </c>
      <c r="B28" s="18" t="s">
        <v>112</v>
      </c>
      <c r="C28" s="45"/>
      <c r="D28" s="18" t="s">
        <v>57</v>
      </c>
      <c r="E28" s="19" t="s">
        <v>58</v>
      </c>
      <c r="F28" s="18" t="s">
        <v>113</v>
      </c>
      <c r="G28" s="18" t="s">
        <v>60</v>
      </c>
      <c r="H28" s="18">
        <v>6304843335</v>
      </c>
      <c r="I28" s="18" t="s">
        <v>114</v>
      </c>
      <c r="J28" s="29">
        <v>44326</v>
      </c>
      <c r="K28" s="30"/>
      <c r="L28" s="22" t="s">
        <v>17</v>
      </c>
      <c r="M28" s="18" t="s">
        <v>62</v>
      </c>
      <c r="N28" s="18" t="s">
        <v>62</v>
      </c>
      <c r="O28" s="22" t="s">
        <v>62</v>
      </c>
      <c r="P28" s="18" t="s">
        <v>62</v>
      </c>
      <c r="Q28" s="18" t="s">
        <v>62</v>
      </c>
      <c r="R28" s="18" t="s">
        <v>62</v>
      </c>
      <c r="S28" s="22" t="s">
        <v>17</v>
      </c>
      <c r="T28" s="18" t="s">
        <v>62</v>
      </c>
      <c r="U28" s="18" t="s">
        <v>62</v>
      </c>
      <c r="V28" s="18" t="s">
        <v>62</v>
      </c>
      <c r="W28" s="18" t="s">
        <v>62</v>
      </c>
      <c r="X28" s="18" t="s">
        <v>62</v>
      </c>
      <c r="Y28" s="18" t="s">
        <v>62</v>
      </c>
      <c r="Z28" s="22" t="s">
        <v>17</v>
      </c>
      <c r="AA28" s="18" t="s">
        <v>62</v>
      </c>
      <c r="AB28" s="18" t="s">
        <v>62</v>
      </c>
      <c r="AC28" s="18" t="s">
        <v>62</v>
      </c>
      <c r="AD28" s="18" t="s">
        <v>62</v>
      </c>
      <c r="AE28" s="18" t="s">
        <v>62</v>
      </c>
      <c r="AF28" s="18" t="s">
        <v>62</v>
      </c>
      <c r="AG28" s="18" t="s">
        <v>17</v>
      </c>
      <c r="AH28" s="18" t="s">
        <v>62</v>
      </c>
      <c r="AI28" s="18" t="s">
        <v>62</v>
      </c>
      <c r="AJ28" s="18" t="s">
        <v>62</v>
      </c>
      <c r="AK28" s="18" t="s">
        <v>62</v>
      </c>
      <c r="AL28" s="18" t="s">
        <v>62</v>
      </c>
      <c r="AM28" s="18" t="s">
        <v>17</v>
      </c>
      <c r="AN28" s="18">
        <f t="shared" si="33"/>
        <v>23</v>
      </c>
      <c r="AO28" s="18">
        <f t="shared" si="61"/>
        <v>5</v>
      </c>
      <c r="AP28" s="18">
        <f t="shared" si="62"/>
        <v>0</v>
      </c>
      <c r="AQ28" s="18">
        <f t="shared" si="63"/>
        <v>0</v>
      </c>
      <c r="AR28" s="18">
        <f t="shared" si="64"/>
        <v>0</v>
      </c>
      <c r="AS28" s="18">
        <f t="shared" si="65"/>
        <v>0</v>
      </c>
      <c r="AT28" s="18">
        <f t="shared" si="66"/>
        <v>0</v>
      </c>
      <c r="AU28" s="18">
        <f t="shared" si="67"/>
        <v>0</v>
      </c>
      <c r="AV28" s="18">
        <f t="shared" si="68"/>
        <v>0</v>
      </c>
      <c r="AW28" s="18">
        <f t="shared" si="69"/>
        <v>0</v>
      </c>
      <c r="AX28" s="18">
        <f t="shared" si="70"/>
        <v>0</v>
      </c>
      <c r="AY28" s="18">
        <f t="shared" si="71"/>
        <v>0</v>
      </c>
      <c r="AZ28" s="23">
        <f t="shared" si="45"/>
        <v>28</v>
      </c>
      <c r="BA28" s="18">
        <f t="shared" si="46"/>
        <v>23</v>
      </c>
      <c r="BB28" s="24">
        <f t="shared" si="47"/>
        <v>28</v>
      </c>
      <c r="BC28" s="25">
        <f t="shared" si="48"/>
        <v>1</v>
      </c>
      <c r="BD28" s="26">
        <f>VLOOKUP(B28,'Jan''26- Leave Bal'!$B$3:$D$83,3,0)</f>
        <v>4</v>
      </c>
      <c r="BE28" s="27">
        <f>VLOOKUP(B28,'Jan''26- Leave Bal'!$B$3:$E$83,4,0)+$BE$3</f>
        <v>5.5</v>
      </c>
      <c r="BF28" s="27">
        <f>VLOOKUP(B28,'Jan''26- Leave Bal'!$B$3:$F$83,5,0)+$BF$3</f>
        <v>5.5</v>
      </c>
      <c r="BG28" s="27">
        <f>VLOOKUP(B28,'Jan''26- Leave Bal'!$B$3:$G$83,6,0)+$BG$3</f>
        <v>13</v>
      </c>
      <c r="BH28" s="27">
        <f>VLOOKUP(B28,'Jan''26- Leave Bal'!$B$3:$H$83,7,0)</f>
        <v>15</v>
      </c>
      <c r="BI28" s="27">
        <f>VLOOKUP(B28,'Jan''26- Leave Bal'!$B$3:$I$83,8,0)+$BI$3</f>
        <v>0.75</v>
      </c>
      <c r="BJ28" s="28">
        <f t="shared" si="49"/>
        <v>0</v>
      </c>
      <c r="BK28" s="28">
        <f t="shared" si="50"/>
        <v>0</v>
      </c>
      <c r="BL28" s="28">
        <f t="shared" si="51"/>
        <v>0</v>
      </c>
      <c r="BM28" s="28">
        <f t="shared" si="52"/>
        <v>0</v>
      </c>
      <c r="BN28" s="28">
        <f t="shared" si="53"/>
        <v>0</v>
      </c>
      <c r="BO28" s="28">
        <f t="shared" si="54"/>
        <v>0</v>
      </c>
      <c r="BP28" s="28">
        <f t="shared" si="55"/>
        <v>4</v>
      </c>
      <c r="BQ28" s="26">
        <f t="shared" si="56"/>
        <v>5.5</v>
      </c>
      <c r="BR28" s="26">
        <f t="shared" si="57"/>
        <v>5.5</v>
      </c>
      <c r="BS28" s="26">
        <f t="shared" si="58"/>
        <v>13</v>
      </c>
      <c r="BT28" s="26">
        <f t="shared" si="59"/>
        <v>15</v>
      </c>
      <c r="BU28" s="26">
        <f t="shared" si="60"/>
        <v>0.75</v>
      </c>
      <c r="BV28" s="17" t="s">
        <v>253</v>
      </c>
      <c r="BW28" s="17">
        <v>0</v>
      </c>
    </row>
    <row r="29" spans="1:75" ht="12" x14ac:dyDescent="0.3">
      <c r="A29" s="18">
        <v>26</v>
      </c>
      <c r="B29" s="18" t="s">
        <v>115</v>
      </c>
      <c r="C29" s="45"/>
      <c r="D29" s="18" t="s">
        <v>57</v>
      </c>
      <c r="E29" s="19" t="s">
        <v>58</v>
      </c>
      <c r="F29" s="18" t="s">
        <v>116</v>
      </c>
      <c r="G29" s="18" t="s">
        <v>60</v>
      </c>
      <c r="H29" s="18" t="s">
        <v>117</v>
      </c>
      <c r="I29" s="18" t="s">
        <v>118</v>
      </c>
      <c r="J29" s="20">
        <v>44522</v>
      </c>
      <c r="K29" s="21"/>
      <c r="L29" s="22" t="s">
        <v>17</v>
      </c>
      <c r="M29" s="18" t="s">
        <v>62</v>
      </c>
      <c r="N29" s="18" t="s">
        <v>62</v>
      </c>
      <c r="O29" s="22" t="s">
        <v>62</v>
      </c>
      <c r="P29" s="18" t="s">
        <v>62</v>
      </c>
      <c r="Q29" s="18" t="s">
        <v>62</v>
      </c>
      <c r="R29" s="22" t="s">
        <v>62</v>
      </c>
      <c r="S29" s="22" t="s">
        <v>17</v>
      </c>
      <c r="T29" s="18" t="s">
        <v>62</v>
      </c>
      <c r="U29" s="18" t="s">
        <v>62</v>
      </c>
      <c r="V29" s="18" t="s">
        <v>62</v>
      </c>
      <c r="W29" s="22" t="s">
        <v>17</v>
      </c>
      <c r="X29" s="18" t="s">
        <v>62</v>
      </c>
      <c r="Y29" s="18" t="s">
        <v>62</v>
      </c>
      <c r="Z29" s="18" t="s">
        <v>62</v>
      </c>
      <c r="AA29" s="18" t="s">
        <v>62</v>
      </c>
      <c r="AB29" s="18" t="s">
        <v>62</v>
      </c>
      <c r="AC29" s="18" t="s">
        <v>62</v>
      </c>
      <c r="AD29" s="18" t="s">
        <v>62</v>
      </c>
      <c r="AE29" s="18" t="s">
        <v>62</v>
      </c>
      <c r="AF29" s="18" t="s">
        <v>62</v>
      </c>
      <c r="AG29" s="18" t="s">
        <v>17</v>
      </c>
      <c r="AH29" s="18" t="s">
        <v>62</v>
      </c>
      <c r="AI29" s="18" t="s">
        <v>62</v>
      </c>
      <c r="AJ29" s="18" t="s">
        <v>62</v>
      </c>
      <c r="AK29" s="18" t="s">
        <v>62</v>
      </c>
      <c r="AL29" s="18" t="s">
        <v>62</v>
      </c>
      <c r="AM29" s="18" t="s">
        <v>18</v>
      </c>
      <c r="AN29" s="18">
        <f t="shared" si="33"/>
        <v>23</v>
      </c>
      <c r="AO29" s="18">
        <f t="shared" si="61"/>
        <v>4</v>
      </c>
      <c r="AP29" s="18">
        <f t="shared" si="62"/>
        <v>1</v>
      </c>
      <c r="AQ29" s="18">
        <f t="shared" si="63"/>
        <v>0</v>
      </c>
      <c r="AR29" s="18">
        <f t="shared" si="64"/>
        <v>0</v>
      </c>
      <c r="AS29" s="18">
        <f t="shared" si="65"/>
        <v>0</v>
      </c>
      <c r="AT29" s="18">
        <f t="shared" si="66"/>
        <v>0</v>
      </c>
      <c r="AU29" s="18">
        <f t="shared" si="67"/>
        <v>0</v>
      </c>
      <c r="AV29" s="18">
        <f t="shared" si="68"/>
        <v>0</v>
      </c>
      <c r="AW29" s="18">
        <f t="shared" si="69"/>
        <v>0</v>
      </c>
      <c r="AX29" s="18">
        <f t="shared" si="70"/>
        <v>0</v>
      </c>
      <c r="AY29" s="18">
        <f t="shared" si="71"/>
        <v>0</v>
      </c>
      <c r="AZ29" s="23">
        <f t="shared" si="45"/>
        <v>28</v>
      </c>
      <c r="BA29" s="18">
        <f t="shared" si="46"/>
        <v>24</v>
      </c>
      <c r="BB29" s="24">
        <f t="shared" si="47"/>
        <v>28</v>
      </c>
      <c r="BC29" s="25">
        <f t="shared" si="48"/>
        <v>0.95833333333333337</v>
      </c>
      <c r="BD29" s="26">
        <f>VLOOKUP(B29,'Jan''26- Leave Bal'!$B$3:$D$83,3,0)</f>
        <v>0</v>
      </c>
      <c r="BE29" s="27">
        <f>VLOOKUP(B29,'Jan''26- Leave Bal'!$B$3:$E$83,4,0)+$BE$3</f>
        <v>0.5</v>
      </c>
      <c r="BF29" s="27">
        <f>VLOOKUP(B29,'Jan''26- Leave Bal'!$B$3:$F$83,5,0)+$BF$3</f>
        <v>0.5</v>
      </c>
      <c r="BG29" s="27">
        <f>VLOOKUP(B29,'Jan''26- Leave Bal'!$B$3:$G$83,6,0)+$BG$3</f>
        <v>4</v>
      </c>
      <c r="BH29" s="27">
        <f>VLOOKUP(B29,'Jan''26- Leave Bal'!$B$3:$H$83,7,0)</f>
        <v>15</v>
      </c>
      <c r="BI29" s="27">
        <f>VLOOKUP(B29,'Jan''26- Leave Bal'!$B$3:$I$83,8,0)+$BI$3</f>
        <v>0.75</v>
      </c>
      <c r="BJ29" s="28">
        <f t="shared" si="49"/>
        <v>0</v>
      </c>
      <c r="BK29" s="28">
        <f t="shared" si="50"/>
        <v>0.5</v>
      </c>
      <c r="BL29" s="28">
        <f t="shared" si="51"/>
        <v>0.5</v>
      </c>
      <c r="BM29" s="28">
        <f t="shared" si="52"/>
        <v>0</v>
      </c>
      <c r="BN29" s="28">
        <f t="shared" si="53"/>
        <v>0</v>
      </c>
      <c r="BO29" s="28">
        <f t="shared" si="54"/>
        <v>0</v>
      </c>
      <c r="BP29" s="28">
        <f t="shared" si="55"/>
        <v>0</v>
      </c>
      <c r="BQ29" s="26">
        <f t="shared" si="56"/>
        <v>0</v>
      </c>
      <c r="BR29" s="26">
        <f t="shared" si="57"/>
        <v>0</v>
      </c>
      <c r="BS29" s="26">
        <f t="shared" si="58"/>
        <v>4</v>
      </c>
      <c r="BT29" s="26">
        <f t="shared" si="59"/>
        <v>15</v>
      </c>
      <c r="BU29" s="26">
        <f t="shared" si="60"/>
        <v>0.75</v>
      </c>
      <c r="BW29" s="17">
        <v>0</v>
      </c>
    </row>
    <row r="30" spans="1:75" ht="12" x14ac:dyDescent="0.3">
      <c r="A30" s="18">
        <v>27</v>
      </c>
      <c r="B30" s="18" t="s">
        <v>119</v>
      </c>
      <c r="C30" s="45"/>
      <c r="D30" s="18" t="s">
        <v>57</v>
      </c>
      <c r="E30" s="19" t="s">
        <v>58</v>
      </c>
      <c r="F30" s="18" t="s">
        <v>116</v>
      </c>
      <c r="G30" s="18" t="s">
        <v>120</v>
      </c>
      <c r="H30" s="18">
        <v>7997575026</v>
      </c>
      <c r="I30" s="18" t="s">
        <v>121</v>
      </c>
      <c r="J30" s="20">
        <v>44845</v>
      </c>
      <c r="K30" s="21"/>
      <c r="L30" s="22" t="s">
        <v>17</v>
      </c>
      <c r="M30" s="18" t="s">
        <v>62</v>
      </c>
      <c r="N30" s="18" t="s">
        <v>62</v>
      </c>
      <c r="O30" s="18" t="s">
        <v>18</v>
      </c>
      <c r="P30" s="18" t="s">
        <v>62</v>
      </c>
      <c r="Q30" s="18" t="s">
        <v>62</v>
      </c>
      <c r="R30" s="18" t="s">
        <v>62</v>
      </c>
      <c r="S30" s="22" t="s">
        <v>17</v>
      </c>
      <c r="T30" s="18" t="s">
        <v>62</v>
      </c>
      <c r="U30" s="18" t="s">
        <v>62</v>
      </c>
      <c r="V30" s="18" t="s">
        <v>62</v>
      </c>
      <c r="W30" s="18" t="s">
        <v>62</v>
      </c>
      <c r="X30" s="18" t="s">
        <v>62</v>
      </c>
      <c r="Y30" s="18" t="s">
        <v>62</v>
      </c>
      <c r="Z30" s="22" t="s">
        <v>17</v>
      </c>
      <c r="AA30" s="18" t="s">
        <v>62</v>
      </c>
      <c r="AB30" s="18" t="s">
        <v>62</v>
      </c>
      <c r="AC30" s="18" t="s">
        <v>62</v>
      </c>
      <c r="AD30" s="18" t="s">
        <v>62</v>
      </c>
      <c r="AE30" s="18" t="s">
        <v>62</v>
      </c>
      <c r="AF30" s="18" t="s">
        <v>62</v>
      </c>
      <c r="AG30" s="18" t="s">
        <v>17</v>
      </c>
      <c r="AH30" s="18" t="s">
        <v>62</v>
      </c>
      <c r="AI30" s="18" t="s">
        <v>18</v>
      </c>
      <c r="AJ30" s="18" t="s">
        <v>18</v>
      </c>
      <c r="AK30" s="18" t="s">
        <v>18</v>
      </c>
      <c r="AL30" s="18" t="s">
        <v>18</v>
      </c>
      <c r="AM30" s="18" t="s">
        <v>18</v>
      </c>
      <c r="AN30" s="18">
        <f t="shared" si="33"/>
        <v>18</v>
      </c>
      <c r="AO30" s="18">
        <f t="shared" si="61"/>
        <v>4</v>
      </c>
      <c r="AP30" s="18">
        <f t="shared" si="62"/>
        <v>6</v>
      </c>
      <c r="AQ30" s="18">
        <f t="shared" si="63"/>
        <v>0</v>
      </c>
      <c r="AR30" s="18">
        <f t="shared" si="64"/>
        <v>0</v>
      </c>
      <c r="AS30" s="18">
        <f t="shared" si="65"/>
        <v>0</v>
      </c>
      <c r="AT30" s="18">
        <f t="shared" si="66"/>
        <v>0</v>
      </c>
      <c r="AU30" s="18">
        <f t="shared" si="67"/>
        <v>0</v>
      </c>
      <c r="AV30" s="18">
        <f t="shared" si="68"/>
        <v>0</v>
      </c>
      <c r="AW30" s="18">
        <f t="shared" si="69"/>
        <v>0</v>
      </c>
      <c r="AX30" s="18">
        <f t="shared" si="70"/>
        <v>0</v>
      </c>
      <c r="AY30" s="18">
        <f t="shared" si="71"/>
        <v>0</v>
      </c>
      <c r="AZ30" s="23">
        <f t="shared" si="45"/>
        <v>28</v>
      </c>
      <c r="BA30" s="18">
        <f t="shared" si="46"/>
        <v>24</v>
      </c>
      <c r="BB30" s="24">
        <f t="shared" si="47"/>
        <v>25</v>
      </c>
      <c r="BC30" s="25">
        <f t="shared" si="48"/>
        <v>0.75</v>
      </c>
      <c r="BD30" s="26">
        <f>VLOOKUP(B30,'Jan''26- Leave Bal'!$B$3:$D$83,3,0)</f>
        <v>0</v>
      </c>
      <c r="BE30" s="27">
        <f>VLOOKUP(B30,'Jan''26- Leave Bal'!$B$3:$E$83,4,0)+$BE$3</f>
        <v>0.5</v>
      </c>
      <c r="BF30" s="27">
        <f>VLOOKUP(B30,'Jan''26- Leave Bal'!$B$3:$F$83,5,0)+$BF$3</f>
        <v>0.5</v>
      </c>
      <c r="BG30" s="27">
        <f>VLOOKUP(B30,'Jan''26- Leave Bal'!$B$3:$G$83,6,0)+$BG$3</f>
        <v>2</v>
      </c>
      <c r="BH30" s="27">
        <f>VLOOKUP(B30,'Jan''26- Leave Bal'!$B$3:$H$83,7,0)</f>
        <v>0</v>
      </c>
      <c r="BI30" s="27">
        <f>VLOOKUP(B30,'Jan''26- Leave Bal'!$B$3:$I$83,8,0)+$BI$3</f>
        <v>0.75</v>
      </c>
      <c r="BJ30" s="28">
        <f t="shared" si="49"/>
        <v>0</v>
      </c>
      <c r="BK30" s="28">
        <f t="shared" si="50"/>
        <v>0.5</v>
      </c>
      <c r="BL30" s="28">
        <f t="shared" si="51"/>
        <v>0.5</v>
      </c>
      <c r="BM30" s="28">
        <f t="shared" si="52"/>
        <v>2</v>
      </c>
      <c r="BN30" s="28">
        <f t="shared" si="53"/>
        <v>0</v>
      </c>
      <c r="BO30" s="28">
        <f t="shared" si="54"/>
        <v>3</v>
      </c>
      <c r="BP30" s="28">
        <f t="shared" si="55"/>
        <v>0</v>
      </c>
      <c r="BQ30" s="26">
        <f t="shared" si="56"/>
        <v>0</v>
      </c>
      <c r="BR30" s="26">
        <f t="shared" si="57"/>
        <v>0</v>
      </c>
      <c r="BS30" s="26">
        <f t="shared" si="58"/>
        <v>0</v>
      </c>
      <c r="BT30" s="26">
        <f t="shared" si="59"/>
        <v>0</v>
      </c>
      <c r="BU30" s="26">
        <f t="shared" si="60"/>
        <v>0.75</v>
      </c>
      <c r="BW30" s="17">
        <v>0</v>
      </c>
    </row>
    <row r="31" spans="1:75" ht="12" x14ac:dyDescent="0.3">
      <c r="A31" s="18">
        <v>28</v>
      </c>
      <c r="B31" s="18" t="s">
        <v>122</v>
      </c>
      <c r="C31" s="45"/>
      <c r="D31" s="18" t="s">
        <v>57</v>
      </c>
      <c r="E31" s="19" t="s">
        <v>58</v>
      </c>
      <c r="F31" s="18" t="s">
        <v>116</v>
      </c>
      <c r="G31" s="18" t="s">
        <v>60</v>
      </c>
      <c r="H31" s="18">
        <v>9014924293</v>
      </c>
      <c r="I31" s="18" t="s">
        <v>123</v>
      </c>
      <c r="J31" s="20">
        <v>44326</v>
      </c>
      <c r="K31" s="21"/>
      <c r="L31" s="22" t="s">
        <v>17</v>
      </c>
      <c r="M31" s="18" t="s">
        <v>62</v>
      </c>
      <c r="N31" s="18" t="s">
        <v>62</v>
      </c>
      <c r="O31" s="22" t="s">
        <v>17</v>
      </c>
      <c r="P31" s="18" t="s">
        <v>62</v>
      </c>
      <c r="Q31" s="18" t="s">
        <v>62</v>
      </c>
      <c r="R31" s="18" t="s">
        <v>62</v>
      </c>
      <c r="S31" s="18" t="s">
        <v>62</v>
      </c>
      <c r="T31" s="18" t="s">
        <v>62</v>
      </c>
      <c r="U31" s="18" t="s">
        <v>62</v>
      </c>
      <c r="V31" s="18" t="s">
        <v>62</v>
      </c>
      <c r="W31" s="18" t="s">
        <v>62</v>
      </c>
      <c r="X31" s="18" t="s">
        <v>62</v>
      </c>
      <c r="Y31" s="18" t="s">
        <v>62</v>
      </c>
      <c r="Z31" s="22" t="s">
        <v>17</v>
      </c>
      <c r="AA31" s="18" t="s">
        <v>62</v>
      </c>
      <c r="AB31" s="18" t="s">
        <v>62</v>
      </c>
      <c r="AC31" s="18" t="s">
        <v>62</v>
      </c>
      <c r="AD31" s="18" t="s">
        <v>62</v>
      </c>
      <c r="AE31" s="18" t="s">
        <v>62</v>
      </c>
      <c r="AF31" s="18" t="s">
        <v>62</v>
      </c>
      <c r="AG31" s="18" t="s">
        <v>17</v>
      </c>
      <c r="AH31" s="18" t="s">
        <v>62</v>
      </c>
      <c r="AI31" s="18" t="s">
        <v>62</v>
      </c>
      <c r="AJ31" s="18" t="s">
        <v>17</v>
      </c>
      <c r="AK31" s="18" t="s">
        <v>62</v>
      </c>
      <c r="AL31" s="18" t="s">
        <v>62</v>
      </c>
      <c r="AM31" s="18" t="s">
        <v>62</v>
      </c>
      <c r="AN31" s="18">
        <f t="shared" si="33"/>
        <v>23</v>
      </c>
      <c r="AO31" s="18">
        <f t="shared" si="61"/>
        <v>5</v>
      </c>
      <c r="AP31" s="18">
        <f t="shared" si="62"/>
        <v>0</v>
      </c>
      <c r="AQ31" s="18">
        <f t="shared" si="63"/>
        <v>0</v>
      </c>
      <c r="AR31" s="18">
        <f t="shared" si="64"/>
        <v>0</v>
      </c>
      <c r="AS31" s="18">
        <f t="shared" si="65"/>
        <v>0</v>
      </c>
      <c r="AT31" s="18">
        <f t="shared" si="66"/>
        <v>0</v>
      </c>
      <c r="AU31" s="18">
        <f t="shared" si="67"/>
        <v>0</v>
      </c>
      <c r="AV31" s="18">
        <f t="shared" si="68"/>
        <v>0</v>
      </c>
      <c r="AW31" s="18">
        <f t="shared" si="69"/>
        <v>0</v>
      </c>
      <c r="AX31" s="18">
        <f t="shared" si="70"/>
        <v>0</v>
      </c>
      <c r="AY31" s="18">
        <f t="shared" si="71"/>
        <v>0</v>
      </c>
      <c r="AZ31" s="23">
        <f t="shared" si="45"/>
        <v>28</v>
      </c>
      <c r="BA31" s="18">
        <f t="shared" si="46"/>
        <v>23</v>
      </c>
      <c r="BB31" s="24">
        <f t="shared" si="47"/>
        <v>28</v>
      </c>
      <c r="BC31" s="25">
        <f t="shared" si="48"/>
        <v>1</v>
      </c>
      <c r="BD31" s="26">
        <f>VLOOKUP(B31,'Jan''26- Leave Bal'!$B$3:$D$83,3,0)</f>
        <v>0</v>
      </c>
      <c r="BE31" s="27">
        <f>VLOOKUP(B31,'Jan''26- Leave Bal'!$B$3:$E$83,4,0)+$BE$3</f>
        <v>0.5</v>
      </c>
      <c r="BF31" s="27">
        <f>VLOOKUP(B31,'Jan''26- Leave Bal'!$B$3:$F$83,5,0)+$BF$3</f>
        <v>0.5</v>
      </c>
      <c r="BG31" s="27">
        <f>VLOOKUP(B31,'Jan''26- Leave Bal'!$B$3:$G$83,6,0)+$BG$3</f>
        <v>6.5</v>
      </c>
      <c r="BH31" s="27">
        <f>VLOOKUP(B31,'Jan''26- Leave Bal'!$B$3:$H$83,7,0)</f>
        <v>15</v>
      </c>
      <c r="BI31" s="27">
        <f>VLOOKUP(B31,'Jan''26- Leave Bal'!$B$3:$I$83,8,0)+$BI$3</f>
        <v>0.75</v>
      </c>
      <c r="BJ31" s="28">
        <f t="shared" si="49"/>
        <v>0</v>
      </c>
      <c r="BK31" s="28">
        <f t="shared" si="50"/>
        <v>0</v>
      </c>
      <c r="BL31" s="28">
        <f t="shared" si="51"/>
        <v>0</v>
      </c>
      <c r="BM31" s="28">
        <f t="shared" si="52"/>
        <v>0</v>
      </c>
      <c r="BN31" s="28">
        <f t="shared" si="53"/>
        <v>0</v>
      </c>
      <c r="BO31" s="28">
        <f t="shared" si="54"/>
        <v>0</v>
      </c>
      <c r="BP31" s="28">
        <f t="shared" si="55"/>
        <v>0</v>
      </c>
      <c r="BQ31" s="26">
        <f t="shared" si="56"/>
        <v>0.5</v>
      </c>
      <c r="BR31" s="26">
        <f t="shared" si="57"/>
        <v>0.5</v>
      </c>
      <c r="BS31" s="26">
        <f t="shared" si="58"/>
        <v>6.5</v>
      </c>
      <c r="BT31" s="26">
        <f t="shared" si="59"/>
        <v>15</v>
      </c>
      <c r="BU31" s="26">
        <f t="shared" si="60"/>
        <v>0.75</v>
      </c>
      <c r="BV31" s="17" t="s">
        <v>253</v>
      </c>
      <c r="BW31" s="17">
        <v>0</v>
      </c>
    </row>
    <row r="32" spans="1:75" ht="12" x14ac:dyDescent="0.3">
      <c r="A32" s="18">
        <v>29</v>
      </c>
      <c r="B32" s="18" t="s">
        <v>124</v>
      </c>
      <c r="C32" s="45"/>
      <c r="D32" s="23" t="s">
        <v>125</v>
      </c>
      <c r="E32" s="23" t="s">
        <v>125</v>
      </c>
      <c r="F32" s="23" t="s">
        <v>125</v>
      </c>
      <c r="G32" s="23" t="s">
        <v>77</v>
      </c>
      <c r="H32" s="23" t="s">
        <v>126</v>
      </c>
      <c r="I32" s="23" t="s">
        <v>127</v>
      </c>
      <c r="J32" s="20"/>
      <c r="K32" s="26"/>
      <c r="L32" s="22" t="s">
        <v>17</v>
      </c>
      <c r="M32" s="18" t="s">
        <v>62</v>
      </c>
      <c r="N32" s="22" t="s">
        <v>62</v>
      </c>
      <c r="O32" s="22" t="s">
        <v>62</v>
      </c>
      <c r="P32" s="18" t="s">
        <v>62</v>
      </c>
      <c r="Q32" s="18" t="s">
        <v>62</v>
      </c>
      <c r="R32" s="22" t="s">
        <v>17</v>
      </c>
      <c r="S32" s="22" t="s">
        <v>17</v>
      </c>
      <c r="T32" s="18" t="s">
        <v>62</v>
      </c>
      <c r="U32" s="18" t="s">
        <v>62</v>
      </c>
      <c r="V32" s="22" t="s">
        <v>62</v>
      </c>
      <c r="W32" s="18" t="s">
        <v>62</v>
      </c>
      <c r="X32" s="18" t="s">
        <v>18</v>
      </c>
      <c r="Y32" s="18" t="s">
        <v>18</v>
      </c>
      <c r="Z32" s="22" t="s">
        <v>17</v>
      </c>
      <c r="AA32" s="18" t="s">
        <v>62</v>
      </c>
      <c r="AB32" s="18" t="s">
        <v>62</v>
      </c>
      <c r="AC32" s="22" t="s">
        <v>62</v>
      </c>
      <c r="AD32" s="18" t="s">
        <v>62</v>
      </c>
      <c r="AE32" s="18" t="s">
        <v>62</v>
      </c>
      <c r="AF32" s="18" t="s">
        <v>62</v>
      </c>
      <c r="AG32" s="18" t="s">
        <v>17</v>
      </c>
      <c r="AH32" s="18" t="s">
        <v>62</v>
      </c>
      <c r="AI32" s="18" t="s">
        <v>62</v>
      </c>
      <c r="AJ32" s="22" t="s">
        <v>62</v>
      </c>
      <c r="AK32" s="18" t="s">
        <v>62</v>
      </c>
      <c r="AL32" s="18" t="s">
        <v>18</v>
      </c>
      <c r="AM32" s="18" t="s">
        <v>62</v>
      </c>
      <c r="AN32" s="18">
        <f t="shared" si="33"/>
        <v>20</v>
      </c>
      <c r="AO32" s="18">
        <f t="shared" si="61"/>
        <v>5</v>
      </c>
      <c r="AP32" s="18">
        <f t="shared" si="62"/>
        <v>3</v>
      </c>
      <c r="AQ32" s="18">
        <f t="shared" si="63"/>
        <v>0</v>
      </c>
      <c r="AR32" s="18">
        <f t="shared" si="64"/>
        <v>0</v>
      </c>
      <c r="AS32" s="18">
        <f t="shared" si="65"/>
        <v>0</v>
      </c>
      <c r="AT32" s="18">
        <f t="shared" si="66"/>
        <v>0</v>
      </c>
      <c r="AU32" s="18">
        <f t="shared" si="67"/>
        <v>0</v>
      </c>
      <c r="AV32" s="18">
        <f t="shared" si="68"/>
        <v>0</v>
      </c>
      <c r="AW32" s="18">
        <f t="shared" si="69"/>
        <v>0</v>
      </c>
      <c r="AX32" s="18">
        <f t="shared" si="70"/>
        <v>0</v>
      </c>
      <c r="AY32" s="18">
        <f t="shared" si="71"/>
        <v>0</v>
      </c>
      <c r="AZ32" s="23">
        <f t="shared" si="45"/>
        <v>28</v>
      </c>
      <c r="BA32" s="18">
        <f t="shared" si="46"/>
        <v>23</v>
      </c>
      <c r="BB32" s="24">
        <f t="shared" si="47"/>
        <v>28</v>
      </c>
      <c r="BC32" s="25">
        <f t="shared" si="48"/>
        <v>0.86956521739130432</v>
      </c>
      <c r="BD32" s="26">
        <f>VLOOKUP(B32,'Jan''26- Leave Bal'!$B$3:$D$83,3,0)</f>
        <v>0</v>
      </c>
      <c r="BE32" s="27">
        <f>VLOOKUP(B32,'Jan''26- Leave Bal'!$B$3:$E$83,4,0)+$BE$3</f>
        <v>0.5</v>
      </c>
      <c r="BF32" s="27">
        <f>VLOOKUP(B32,'Jan''26- Leave Bal'!$B$3:$F$83,5,0)+$BF$3</f>
        <v>3.5</v>
      </c>
      <c r="BG32" s="27">
        <f>VLOOKUP(B32,'Jan''26- Leave Bal'!$B$3:$G$83,6,0)+$BG$3</f>
        <v>11</v>
      </c>
      <c r="BH32" s="27">
        <f>VLOOKUP(B32,'Jan''26- Leave Bal'!$B$3:$H$83,7,0)</f>
        <v>15</v>
      </c>
      <c r="BI32" s="27">
        <f>VLOOKUP(B32,'Jan''26- Leave Bal'!$B$3:$I$83,8,0)+$BI$3</f>
        <v>0.75</v>
      </c>
      <c r="BJ32" s="28">
        <f t="shared" si="49"/>
        <v>0</v>
      </c>
      <c r="BK32" s="28">
        <f t="shared" si="50"/>
        <v>0.5</v>
      </c>
      <c r="BL32" s="28">
        <f t="shared" si="51"/>
        <v>2.5</v>
      </c>
      <c r="BM32" s="28">
        <f t="shared" si="52"/>
        <v>0</v>
      </c>
      <c r="BN32" s="28">
        <f t="shared" si="53"/>
        <v>0</v>
      </c>
      <c r="BO32" s="28">
        <f t="shared" si="54"/>
        <v>0</v>
      </c>
      <c r="BP32" s="28">
        <f t="shared" si="55"/>
        <v>0</v>
      </c>
      <c r="BQ32" s="26">
        <f t="shared" si="56"/>
        <v>0</v>
      </c>
      <c r="BR32" s="26">
        <f t="shared" si="57"/>
        <v>1</v>
      </c>
      <c r="BS32" s="26">
        <f t="shared" si="58"/>
        <v>11</v>
      </c>
      <c r="BT32" s="26">
        <f t="shared" si="59"/>
        <v>15</v>
      </c>
      <c r="BU32" s="26">
        <f t="shared" si="60"/>
        <v>0.75</v>
      </c>
      <c r="BW32" s="17">
        <v>0</v>
      </c>
    </row>
    <row r="33" spans="1:75" ht="12" x14ac:dyDescent="0.3">
      <c r="A33" s="18">
        <v>30</v>
      </c>
      <c r="B33" s="18" t="s">
        <v>128</v>
      </c>
      <c r="C33" s="45"/>
      <c r="D33" s="18" t="s">
        <v>57</v>
      </c>
      <c r="E33" s="19" t="s">
        <v>58</v>
      </c>
      <c r="F33" s="23" t="s">
        <v>129</v>
      </c>
      <c r="G33" s="18" t="s">
        <v>77</v>
      </c>
      <c r="H33" s="18">
        <v>7702552113</v>
      </c>
      <c r="I33" s="18" t="s">
        <v>130</v>
      </c>
      <c r="J33" s="29">
        <v>44326</v>
      </c>
      <c r="K33" s="30"/>
      <c r="L33" s="22" t="s">
        <v>17</v>
      </c>
      <c r="M33" s="18" t="s">
        <v>62</v>
      </c>
      <c r="N33" s="18" t="s">
        <v>62</v>
      </c>
      <c r="O33" s="18" t="s">
        <v>62</v>
      </c>
      <c r="P33" s="9" t="s">
        <v>62</v>
      </c>
      <c r="Q33" s="18" t="s">
        <v>62</v>
      </c>
      <c r="R33" s="18" t="s">
        <v>62</v>
      </c>
      <c r="S33" s="22" t="s">
        <v>17</v>
      </c>
      <c r="T33" s="18" t="s">
        <v>62</v>
      </c>
      <c r="U33" s="18" t="s">
        <v>62</v>
      </c>
      <c r="V33" s="22" t="s">
        <v>62</v>
      </c>
      <c r="W33" s="18" t="s">
        <v>62</v>
      </c>
      <c r="X33" s="18" t="s">
        <v>62</v>
      </c>
      <c r="Y33" s="18" t="s">
        <v>62</v>
      </c>
      <c r="Z33" s="22" t="s">
        <v>17</v>
      </c>
      <c r="AA33" s="18" t="s">
        <v>62</v>
      </c>
      <c r="AB33" s="18" t="s">
        <v>62</v>
      </c>
      <c r="AC33" s="18" t="s">
        <v>62</v>
      </c>
      <c r="AD33" s="18" t="s">
        <v>62</v>
      </c>
      <c r="AE33" s="18" t="s">
        <v>62</v>
      </c>
      <c r="AF33" s="18" t="s">
        <v>62</v>
      </c>
      <c r="AG33" s="18" t="s">
        <v>17</v>
      </c>
      <c r="AH33" s="18" t="s">
        <v>62</v>
      </c>
      <c r="AI33" s="18" t="s">
        <v>62</v>
      </c>
      <c r="AJ33" s="18" t="s">
        <v>62</v>
      </c>
      <c r="AK33" s="18" t="s">
        <v>18</v>
      </c>
      <c r="AL33" s="18" t="s">
        <v>62</v>
      </c>
      <c r="AM33" s="18" t="s">
        <v>62</v>
      </c>
      <c r="AN33" s="18">
        <f t="shared" si="33"/>
        <v>23</v>
      </c>
      <c r="AO33" s="18">
        <f t="shared" si="61"/>
        <v>4</v>
      </c>
      <c r="AP33" s="18">
        <f t="shared" si="62"/>
        <v>1</v>
      </c>
      <c r="AQ33" s="18">
        <f t="shared" si="63"/>
        <v>0</v>
      </c>
      <c r="AR33" s="18">
        <f t="shared" si="64"/>
        <v>0</v>
      </c>
      <c r="AS33" s="18">
        <f t="shared" si="65"/>
        <v>0</v>
      </c>
      <c r="AT33" s="18">
        <f t="shared" si="66"/>
        <v>0</v>
      </c>
      <c r="AU33" s="18">
        <f t="shared" si="67"/>
        <v>0</v>
      </c>
      <c r="AV33" s="18">
        <f t="shared" si="68"/>
        <v>0</v>
      </c>
      <c r="AW33" s="18">
        <f t="shared" si="69"/>
        <v>0</v>
      </c>
      <c r="AX33" s="18">
        <f t="shared" si="70"/>
        <v>0</v>
      </c>
      <c r="AY33" s="18">
        <f t="shared" si="71"/>
        <v>0</v>
      </c>
      <c r="AZ33" s="23">
        <f t="shared" si="45"/>
        <v>28</v>
      </c>
      <c r="BA33" s="18">
        <f t="shared" si="46"/>
        <v>24</v>
      </c>
      <c r="BB33" s="24">
        <f t="shared" si="47"/>
        <v>28</v>
      </c>
      <c r="BC33" s="25">
        <f t="shared" si="48"/>
        <v>0.95833333333333337</v>
      </c>
      <c r="BD33" s="26">
        <f>VLOOKUP(B33,'Jan''26- Leave Bal'!$B$3:$D$83,3,0)</f>
        <v>0</v>
      </c>
      <c r="BE33" s="27">
        <f>VLOOKUP(B33,'Jan''26- Leave Bal'!$B$3:$E$83,4,0)+$BE$3</f>
        <v>1</v>
      </c>
      <c r="BF33" s="27">
        <f>VLOOKUP(B33,'Jan''26- Leave Bal'!$B$3:$F$83,5,0)+$BF$3</f>
        <v>1</v>
      </c>
      <c r="BG33" s="27">
        <f>VLOOKUP(B33,'Jan''26- Leave Bal'!$B$3:$G$83,6,0)+$BG$3</f>
        <v>12</v>
      </c>
      <c r="BH33" s="27">
        <f>VLOOKUP(B33,'Jan''26- Leave Bal'!$B$3:$H$83,7,0)</f>
        <v>15</v>
      </c>
      <c r="BI33" s="27">
        <f>VLOOKUP(B33,'Jan''26- Leave Bal'!$B$3:$I$83,8,0)+$BI$3</f>
        <v>0.75</v>
      </c>
      <c r="BJ33" s="28">
        <f t="shared" si="49"/>
        <v>0</v>
      </c>
      <c r="BK33" s="28">
        <f t="shared" si="50"/>
        <v>1</v>
      </c>
      <c r="BL33" s="28">
        <f t="shared" si="51"/>
        <v>0</v>
      </c>
      <c r="BM33" s="28">
        <f t="shared" si="52"/>
        <v>0</v>
      </c>
      <c r="BN33" s="28">
        <f t="shared" si="53"/>
        <v>0</v>
      </c>
      <c r="BO33" s="28">
        <f t="shared" si="54"/>
        <v>0</v>
      </c>
      <c r="BP33" s="28">
        <f t="shared" si="55"/>
        <v>0</v>
      </c>
      <c r="BQ33" s="26">
        <f t="shared" si="56"/>
        <v>0</v>
      </c>
      <c r="BR33" s="26">
        <f t="shared" si="57"/>
        <v>1</v>
      </c>
      <c r="BS33" s="26">
        <f t="shared" si="58"/>
        <v>12</v>
      </c>
      <c r="BT33" s="26">
        <f t="shared" si="59"/>
        <v>15</v>
      </c>
      <c r="BU33" s="26">
        <f t="shared" si="60"/>
        <v>0.75</v>
      </c>
      <c r="BW33" s="17">
        <v>0</v>
      </c>
    </row>
    <row r="34" spans="1:75" ht="12" x14ac:dyDescent="0.3">
      <c r="A34" s="18">
        <v>31</v>
      </c>
      <c r="B34" s="18" t="s">
        <v>131</v>
      </c>
      <c r="C34" s="45"/>
      <c r="D34" s="18" t="s">
        <v>57</v>
      </c>
      <c r="E34" s="19" t="s">
        <v>58</v>
      </c>
      <c r="F34" s="18" t="s">
        <v>129</v>
      </c>
      <c r="G34" s="18" t="s">
        <v>77</v>
      </c>
      <c r="H34" s="18">
        <v>7075587976</v>
      </c>
      <c r="I34" s="18" t="s">
        <v>132</v>
      </c>
      <c r="J34" s="20">
        <v>44131</v>
      </c>
      <c r="K34" s="21"/>
      <c r="L34" s="18" t="s">
        <v>62</v>
      </c>
      <c r="M34" s="18" t="s">
        <v>62</v>
      </c>
      <c r="N34" s="18" t="s">
        <v>62</v>
      </c>
      <c r="O34" s="18" t="s">
        <v>62</v>
      </c>
      <c r="P34" s="18" t="s">
        <v>62</v>
      </c>
      <c r="Q34" s="18" t="s">
        <v>62</v>
      </c>
      <c r="R34" s="22" t="s">
        <v>62</v>
      </c>
      <c r="S34" s="22" t="s">
        <v>17</v>
      </c>
      <c r="T34" s="22" t="s">
        <v>62</v>
      </c>
      <c r="U34" s="18" t="s">
        <v>62</v>
      </c>
      <c r="V34" s="18" t="s">
        <v>62</v>
      </c>
      <c r="W34" s="18" t="s">
        <v>62</v>
      </c>
      <c r="X34" s="18" t="s">
        <v>62</v>
      </c>
      <c r="Y34" s="18" t="s">
        <v>62</v>
      </c>
      <c r="Z34" s="22" t="s">
        <v>17</v>
      </c>
      <c r="AA34" s="18" t="s">
        <v>62</v>
      </c>
      <c r="AB34" s="18" t="s">
        <v>62</v>
      </c>
      <c r="AC34" s="18" t="s">
        <v>62</v>
      </c>
      <c r="AD34" s="18" t="s">
        <v>62</v>
      </c>
      <c r="AE34" s="18" t="s">
        <v>62</v>
      </c>
      <c r="AF34" s="18" t="s">
        <v>62</v>
      </c>
      <c r="AG34" s="18" t="s">
        <v>17</v>
      </c>
      <c r="AH34" s="18" t="s">
        <v>62</v>
      </c>
      <c r="AI34" s="18" t="s">
        <v>62</v>
      </c>
      <c r="AJ34" s="18" t="s">
        <v>62</v>
      </c>
      <c r="AK34" s="18" t="s">
        <v>62</v>
      </c>
      <c r="AL34" s="18" t="s">
        <v>17</v>
      </c>
      <c r="AM34" s="18" t="s">
        <v>62</v>
      </c>
      <c r="AN34" s="18">
        <f t="shared" si="33"/>
        <v>24</v>
      </c>
      <c r="AO34" s="18">
        <f t="shared" si="61"/>
        <v>4</v>
      </c>
      <c r="AP34" s="18">
        <f t="shared" si="62"/>
        <v>0</v>
      </c>
      <c r="AQ34" s="18">
        <f t="shared" si="63"/>
        <v>0</v>
      </c>
      <c r="AR34" s="18">
        <f t="shared" si="64"/>
        <v>0</v>
      </c>
      <c r="AS34" s="18">
        <f t="shared" si="65"/>
        <v>0</v>
      </c>
      <c r="AT34" s="18">
        <f t="shared" si="66"/>
        <v>0</v>
      </c>
      <c r="AU34" s="18">
        <f t="shared" si="67"/>
        <v>0</v>
      </c>
      <c r="AV34" s="18">
        <f t="shared" si="68"/>
        <v>0</v>
      </c>
      <c r="AW34" s="18">
        <f t="shared" si="69"/>
        <v>0</v>
      </c>
      <c r="AX34" s="18">
        <f t="shared" si="70"/>
        <v>0</v>
      </c>
      <c r="AY34" s="18">
        <f t="shared" si="71"/>
        <v>0</v>
      </c>
      <c r="AZ34" s="23">
        <f t="shared" si="45"/>
        <v>28</v>
      </c>
      <c r="BA34" s="18">
        <f t="shared" si="46"/>
        <v>24</v>
      </c>
      <c r="BB34" s="24">
        <f t="shared" si="47"/>
        <v>28</v>
      </c>
      <c r="BC34" s="25">
        <f t="shared" si="48"/>
        <v>1</v>
      </c>
      <c r="BD34" s="26">
        <f>VLOOKUP(B34,'Jan''26- Leave Bal'!$B$3:$D$83,3,0)</f>
        <v>0</v>
      </c>
      <c r="BE34" s="27">
        <f>VLOOKUP(B34,'Jan''26- Leave Bal'!$B$3:$E$83,4,0)+$BE$3</f>
        <v>1</v>
      </c>
      <c r="BF34" s="27">
        <f>VLOOKUP(B34,'Jan''26- Leave Bal'!$B$3:$F$83,5,0)+$BF$3</f>
        <v>1</v>
      </c>
      <c r="BG34" s="27">
        <f>VLOOKUP(B34,'Jan''26- Leave Bal'!$B$3:$G$83,6,0)+$BG$3</f>
        <v>7</v>
      </c>
      <c r="BH34" s="27">
        <f>VLOOKUP(B34,'Jan''26- Leave Bal'!$B$3:$H$83,7,0)</f>
        <v>15</v>
      </c>
      <c r="BI34" s="27">
        <f>VLOOKUP(B34,'Jan''26- Leave Bal'!$B$3:$I$83,8,0)+$BI$3</f>
        <v>0.75</v>
      </c>
      <c r="BJ34" s="28">
        <f t="shared" si="49"/>
        <v>0</v>
      </c>
      <c r="BK34" s="28">
        <f t="shared" si="50"/>
        <v>0</v>
      </c>
      <c r="BL34" s="28">
        <f t="shared" si="51"/>
        <v>0</v>
      </c>
      <c r="BM34" s="28">
        <f t="shared" si="52"/>
        <v>0</v>
      </c>
      <c r="BN34" s="28">
        <f t="shared" si="53"/>
        <v>0</v>
      </c>
      <c r="BO34" s="28">
        <f t="shared" si="54"/>
        <v>0</v>
      </c>
      <c r="BP34" s="28">
        <f t="shared" si="55"/>
        <v>0</v>
      </c>
      <c r="BQ34" s="26">
        <f t="shared" si="56"/>
        <v>1</v>
      </c>
      <c r="BR34" s="26">
        <f t="shared" si="57"/>
        <v>1</v>
      </c>
      <c r="BS34" s="26">
        <f t="shared" si="58"/>
        <v>7</v>
      </c>
      <c r="BT34" s="26">
        <f t="shared" si="59"/>
        <v>15</v>
      </c>
      <c r="BU34" s="26">
        <f t="shared" si="60"/>
        <v>0.75</v>
      </c>
      <c r="BW34" s="17">
        <v>0</v>
      </c>
    </row>
    <row r="35" spans="1:75" ht="12" x14ac:dyDescent="0.3">
      <c r="A35" s="18">
        <v>32</v>
      </c>
      <c r="B35" s="18" t="s">
        <v>133</v>
      </c>
      <c r="C35" s="45"/>
      <c r="D35" s="18" t="s">
        <v>134</v>
      </c>
      <c r="E35" s="19" t="s">
        <v>135</v>
      </c>
      <c r="F35" s="18" t="s">
        <v>136</v>
      </c>
      <c r="G35" s="19" t="s">
        <v>77</v>
      </c>
      <c r="H35" s="18">
        <v>7780170122</v>
      </c>
      <c r="I35" s="18" t="s">
        <v>137</v>
      </c>
      <c r="J35" s="20">
        <v>45033</v>
      </c>
      <c r="K35" s="21"/>
      <c r="L35" s="22" t="s">
        <v>17</v>
      </c>
      <c r="M35" s="18" t="s">
        <v>62</v>
      </c>
      <c r="N35" s="18" t="s">
        <v>62</v>
      </c>
      <c r="O35" s="22" t="s">
        <v>62</v>
      </c>
      <c r="P35" s="22" t="s">
        <v>62</v>
      </c>
      <c r="Q35" s="18" t="s">
        <v>62</v>
      </c>
      <c r="R35" s="18" t="s">
        <v>62</v>
      </c>
      <c r="S35" s="22" t="s">
        <v>17</v>
      </c>
      <c r="T35" s="22" t="s">
        <v>17</v>
      </c>
      <c r="U35" s="18" t="s">
        <v>62</v>
      </c>
      <c r="V35" s="18" t="s">
        <v>62</v>
      </c>
      <c r="W35" s="18" t="s">
        <v>62</v>
      </c>
      <c r="X35" s="18" t="s">
        <v>18</v>
      </c>
      <c r="Y35" s="18" t="s">
        <v>62</v>
      </c>
      <c r="Z35" s="18" t="s">
        <v>62</v>
      </c>
      <c r="AA35" s="18" t="s">
        <v>62</v>
      </c>
      <c r="AB35" s="18" t="s">
        <v>62</v>
      </c>
      <c r="AC35" s="18" t="s">
        <v>62</v>
      </c>
      <c r="AD35" s="18" t="s">
        <v>62</v>
      </c>
      <c r="AE35" s="18" t="s">
        <v>62</v>
      </c>
      <c r="AF35" s="18" t="s">
        <v>62</v>
      </c>
      <c r="AG35" s="18" t="s">
        <v>17</v>
      </c>
      <c r="AH35" s="18" t="s">
        <v>62</v>
      </c>
      <c r="AI35" s="18" t="s">
        <v>62</v>
      </c>
      <c r="AJ35" s="18" t="s">
        <v>18</v>
      </c>
      <c r="AK35" s="18" t="s">
        <v>18</v>
      </c>
      <c r="AL35" s="18" t="s">
        <v>62</v>
      </c>
      <c r="AM35" s="18" t="s">
        <v>62</v>
      </c>
      <c r="AN35" s="18">
        <f t="shared" si="33"/>
        <v>21</v>
      </c>
      <c r="AO35" s="18">
        <f t="shared" si="61"/>
        <v>4</v>
      </c>
      <c r="AP35" s="18">
        <f t="shared" si="62"/>
        <v>3</v>
      </c>
      <c r="AQ35" s="18">
        <f t="shared" si="63"/>
        <v>0</v>
      </c>
      <c r="AR35" s="18">
        <f t="shared" si="64"/>
        <v>0</v>
      </c>
      <c r="AS35" s="18">
        <f t="shared" si="65"/>
        <v>0</v>
      </c>
      <c r="AT35" s="18">
        <f t="shared" si="66"/>
        <v>0</v>
      </c>
      <c r="AU35" s="18">
        <f t="shared" si="67"/>
        <v>0</v>
      </c>
      <c r="AV35" s="18">
        <f t="shared" si="68"/>
        <v>0</v>
      </c>
      <c r="AW35" s="18">
        <f t="shared" si="69"/>
        <v>0</v>
      </c>
      <c r="AX35" s="18">
        <f t="shared" si="70"/>
        <v>0</v>
      </c>
      <c r="AY35" s="18">
        <f t="shared" si="71"/>
        <v>0</v>
      </c>
      <c r="AZ35" s="23">
        <f t="shared" si="45"/>
        <v>28</v>
      </c>
      <c r="BA35" s="18">
        <f t="shared" si="46"/>
        <v>24</v>
      </c>
      <c r="BB35" s="24">
        <f t="shared" si="47"/>
        <v>28</v>
      </c>
      <c r="BC35" s="25">
        <f t="shared" si="48"/>
        <v>0.875</v>
      </c>
      <c r="BD35" s="26">
        <f>VLOOKUP(B35,'Jan''26- Leave Bal'!$B$3:$D$83,3,0)</f>
        <v>0</v>
      </c>
      <c r="BE35" s="27">
        <f>VLOOKUP(B35,'Jan''26- Leave Bal'!$B$3:$E$83,4,0)+$BE$3</f>
        <v>0.5</v>
      </c>
      <c r="BF35" s="27">
        <f>VLOOKUP(B35,'Jan''26- Leave Bal'!$B$3:$F$83,5,0)+$BF$3</f>
        <v>0.5</v>
      </c>
      <c r="BG35" s="27">
        <f>VLOOKUP(B35,'Jan''26- Leave Bal'!$B$3:$G$83,6,0)+$BG$3</f>
        <v>4</v>
      </c>
      <c r="BH35" s="27">
        <f>VLOOKUP(B35,'Jan''26- Leave Bal'!$B$3:$H$83,7,0)</f>
        <v>15</v>
      </c>
      <c r="BI35" s="27">
        <f>VLOOKUP(B35,'Jan''26- Leave Bal'!$B$3:$I$83,8,0)+$BI$3</f>
        <v>0.75</v>
      </c>
      <c r="BJ35" s="28">
        <f t="shared" si="49"/>
        <v>0</v>
      </c>
      <c r="BK35" s="28">
        <f t="shared" si="50"/>
        <v>0.5</v>
      </c>
      <c r="BL35" s="28">
        <f t="shared" si="51"/>
        <v>0.5</v>
      </c>
      <c r="BM35" s="28">
        <f t="shared" si="52"/>
        <v>2</v>
      </c>
      <c r="BN35" s="28">
        <f t="shared" si="53"/>
        <v>0</v>
      </c>
      <c r="BO35" s="28">
        <f t="shared" si="54"/>
        <v>0</v>
      </c>
      <c r="BP35" s="28">
        <f t="shared" si="55"/>
        <v>0</v>
      </c>
      <c r="BQ35" s="26">
        <f t="shared" si="56"/>
        <v>0</v>
      </c>
      <c r="BR35" s="26">
        <f t="shared" si="57"/>
        <v>0</v>
      </c>
      <c r="BS35" s="26">
        <f t="shared" si="58"/>
        <v>2</v>
      </c>
      <c r="BT35" s="26">
        <f t="shared" si="59"/>
        <v>15</v>
      </c>
      <c r="BU35" s="26">
        <f t="shared" si="60"/>
        <v>0.75</v>
      </c>
      <c r="BW35" s="17">
        <v>0</v>
      </c>
    </row>
    <row r="36" spans="1:75" ht="12" x14ac:dyDescent="0.3">
      <c r="A36" s="18">
        <v>33</v>
      </c>
      <c r="B36" s="18" t="s">
        <v>138</v>
      </c>
      <c r="C36" s="45"/>
      <c r="D36" s="18" t="s">
        <v>134</v>
      </c>
      <c r="E36" s="19" t="s">
        <v>135</v>
      </c>
      <c r="F36" s="18" t="s">
        <v>136</v>
      </c>
      <c r="G36" s="18" t="s">
        <v>77</v>
      </c>
      <c r="H36" s="18">
        <v>8074795436</v>
      </c>
      <c r="I36" s="18" t="s">
        <v>139</v>
      </c>
      <c r="J36" s="20">
        <v>45101</v>
      </c>
      <c r="K36" s="21"/>
      <c r="L36" s="18" t="s">
        <v>62</v>
      </c>
      <c r="M36" s="18" t="s">
        <v>62</v>
      </c>
      <c r="N36" s="18" t="s">
        <v>62</v>
      </c>
      <c r="O36" s="18" t="s">
        <v>62</v>
      </c>
      <c r="P36" s="18" t="s">
        <v>62</v>
      </c>
      <c r="Q36" s="18" t="s">
        <v>62</v>
      </c>
      <c r="R36" s="18" t="s">
        <v>62</v>
      </c>
      <c r="S36" s="22" t="s">
        <v>17</v>
      </c>
      <c r="T36" s="18" t="s">
        <v>62</v>
      </c>
      <c r="U36" s="18" t="s">
        <v>62</v>
      </c>
      <c r="V36" s="22" t="s">
        <v>62</v>
      </c>
      <c r="W36" s="23" t="s">
        <v>17</v>
      </c>
      <c r="X36" s="18" t="s">
        <v>18</v>
      </c>
      <c r="Y36" s="22" t="s">
        <v>19</v>
      </c>
      <c r="Z36" s="18" t="s">
        <v>62</v>
      </c>
      <c r="AA36" s="18" t="s">
        <v>17</v>
      </c>
      <c r="AB36" s="18" t="s">
        <v>62</v>
      </c>
      <c r="AC36" s="18" t="s">
        <v>62</v>
      </c>
      <c r="AD36" s="18" t="s">
        <v>62</v>
      </c>
      <c r="AE36" s="18" t="s">
        <v>18</v>
      </c>
      <c r="AF36" s="18" t="s">
        <v>62</v>
      </c>
      <c r="AG36" s="18" t="s">
        <v>18</v>
      </c>
      <c r="AH36" s="18" t="s">
        <v>18</v>
      </c>
      <c r="AI36" s="18" t="s">
        <v>62</v>
      </c>
      <c r="AJ36" s="18" t="s">
        <v>18</v>
      </c>
      <c r="AK36" s="18" t="s">
        <v>62</v>
      </c>
      <c r="AL36" s="18" t="s">
        <v>17</v>
      </c>
      <c r="AM36" s="18" t="s">
        <v>62</v>
      </c>
      <c r="AN36" s="18">
        <f t="shared" si="33"/>
        <v>18.5</v>
      </c>
      <c r="AO36" s="18">
        <f t="shared" si="61"/>
        <v>4</v>
      </c>
      <c r="AP36" s="18">
        <f t="shared" si="62"/>
        <v>5</v>
      </c>
      <c r="AQ36" s="18">
        <f t="shared" si="63"/>
        <v>0.5</v>
      </c>
      <c r="AR36" s="18">
        <f t="shared" si="64"/>
        <v>0</v>
      </c>
      <c r="AS36" s="18">
        <f t="shared" si="65"/>
        <v>0</v>
      </c>
      <c r="AT36" s="18">
        <f t="shared" si="66"/>
        <v>0</v>
      </c>
      <c r="AU36" s="18">
        <f t="shared" si="67"/>
        <v>0</v>
      </c>
      <c r="AV36" s="18">
        <f t="shared" si="68"/>
        <v>0</v>
      </c>
      <c r="AW36" s="18">
        <f t="shared" si="69"/>
        <v>0</v>
      </c>
      <c r="AX36" s="18">
        <f t="shared" si="70"/>
        <v>0</v>
      </c>
      <c r="AY36" s="18">
        <f t="shared" si="71"/>
        <v>0</v>
      </c>
      <c r="AZ36" s="23">
        <f t="shared" si="45"/>
        <v>28</v>
      </c>
      <c r="BA36" s="18">
        <f t="shared" si="46"/>
        <v>24</v>
      </c>
      <c r="BB36" s="24">
        <f t="shared" si="47"/>
        <v>28</v>
      </c>
      <c r="BC36" s="25">
        <f t="shared" si="48"/>
        <v>0.77083333333333337</v>
      </c>
      <c r="BD36" s="26">
        <f>VLOOKUP(B36,'Jan''26- Leave Bal'!$B$3:$D$83,3,0)</f>
        <v>0</v>
      </c>
      <c r="BE36" s="27">
        <f>VLOOKUP(B36,'Jan''26- Leave Bal'!$B$3:$E$83,4,0)+$BE$3</f>
        <v>0.5</v>
      </c>
      <c r="BF36" s="27">
        <f>VLOOKUP(B36,'Jan''26- Leave Bal'!$B$3:$F$83,5,0)+$BF$3</f>
        <v>0.5</v>
      </c>
      <c r="BG36" s="27">
        <f>VLOOKUP(B36,'Jan''26- Leave Bal'!$B$3:$G$83,6,0)+$BG$3</f>
        <v>8.5</v>
      </c>
      <c r="BH36" s="27">
        <f>VLOOKUP(B36,'Jan''26- Leave Bal'!$B$3:$H$83,7,0)</f>
        <v>15</v>
      </c>
      <c r="BI36" s="27">
        <f>VLOOKUP(B36,'Jan''26- Leave Bal'!$B$3:$I$83,8,0)+$BI$3</f>
        <v>0.75</v>
      </c>
      <c r="BJ36" s="28">
        <f t="shared" si="49"/>
        <v>0</v>
      </c>
      <c r="BK36" s="28">
        <f t="shared" si="50"/>
        <v>0.5</v>
      </c>
      <c r="BL36" s="28">
        <f t="shared" si="51"/>
        <v>0.5</v>
      </c>
      <c r="BM36" s="28">
        <f t="shared" si="52"/>
        <v>4.5</v>
      </c>
      <c r="BN36" s="28">
        <f t="shared" si="53"/>
        <v>0</v>
      </c>
      <c r="BO36" s="28">
        <f t="shared" si="54"/>
        <v>0</v>
      </c>
      <c r="BP36" s="28">
        <f t="shared" si="55"/>
        <v>0</v>
      </c>
      <c r="BQ36" s="26">
        <f t="shared" si="56"/>
        <v>0</v>
      </c>
      <c r="BR36" s="26">
        <f t="shared" si="57"/>
        <v>0</v>
      </c>
      <c r="BS36" s="26">
        <f t="shared" si="58"/>
        <v>4</v>
      </c>
      <c r="BT36" s="26">
        <f t="shared" si="59"/>
        <v>15</v>
      </c>
      <c r="BU36" s="26">
        <f t="shared" si="60"/>
        <v>0.75</v>
      </c>
      <c r="BV36" s="17" t="s">
        <v>253</v>
      </c>
      <c r="BW36" s="17" t="s">
        <v>254</v>
      </c>
    </row>
    <row r="37" spans="1:75" ht="12" x14ac:dyDescent="0.3">
      <c r="A37" s="18">
        <v>34</v>
      </c>
      <c r="B37" s="18" t="s">
        <v>140</v>
      </c>
      <c r="C37" s="45"/>
      <c r="D37" s="18" t="s">
        <v>134</v>
      </c>
      <c r="E37" s="19" t="s">
        <v>135</v>
      </c>
      <c r="F37" s="18" t="s">
        <v>141</v>
      </c>
      <c r="G37" s="19" t="s">
        <v>60</v>
      </c>
      <c r="H37" s="18">
        <v>6281188027</v>
      </c>
      <c r="I37" s="18" t="s">
        <v>142</v>
      </c>
      <c r="J37" s="20">
        <v>44845</v>
      </c>
      <c r="K37" s="21"/>
      <c r="L37" s="18" t="s">
        <v>62</v>
      </c>
      <c r="M37" s="22" t="s">
        <v>17</v>
      </c>
      <c r="N37" s="18" t="s">
        <v>62</v>
      </c>
      <c r="O37" s="18" t="s">
        <v>62</v>
      </c>
      <c r="P37" s="18" t="s">
        <v>62</v>
      </c>
      <c r="Q37" s="18" t="s">
        <v>62</v>
      </c>
      <c r="R37" s="18" t="s">
        <v>62</v>
      </c>
      <c r="S37" s="18" t="s">
        <v>62</v>
      </c>
      <c r="T37" s="18" t="s">
        <v>62</v>
      </c>
      <c r="U37" s="18" t="s">
        <v>62</v>
      </c>
      <c r="V37" s="18" t="s">
        <v>62</v>
      </c>
      <c r="W37" s="18" t="s">
        <v>62</v>
      </c>
      <c r="X37" s="23" t="s">
        <v>17</v>
      </c>
      <c r="Y37" s="18" t="s">
        <v>62</v>
      </c>
      <c r="Z37" s="18" t="s">
        <v>62</v>
      </c>
      <c r="AA37" s="18" t="s">
        <v>62</v>
      </c>
      <c r="AB37" s="18" t="s">
        <v>17</v>
      </c>
      <c r="AC37" s="18" t="s">
        <v>62</v>
      </c>
      <c r="AD37" s="18" t="s">
        <v>62</v>
      </c>
      <c r="AE37" s="18" t="s">
        <v>62</v>
      </c>
      <c r="AF37" s="18" t="s">
        <v>62</v>
      </c>
      <c r="AG37" s="18" t="s">
        <v>62</v>
      </c>
      <c r="AH37" s="18" t="s">
        <v>62</v>
      </c>
      <c r="AI37" s="18" t="s">
        <v>62</v>
      </c>
      <c r="AJ37" s="18" t="s">
        <v>17</v>
      </c>
      <c r="AK37" s="18" t="s">
        <v>62</v>
      </c>
      <c r="AL37" s="18" t="s">
        <v>62</v>
      </c>
      <c r="AM37" s="18" t="s">
        <v>62</v>
      </c>
      <c r="AN37" s="18">
        <f t="shared" si="33"/>
        <v>24</v>
      </c>
      <c r="AO37" s="18">
        <f t="shared" si="61"/>
        <v>4</v>
      </c>
      <c r="AP37" s="18">
        <f t="shared" si="62"/>
        <v>0</v>
      </c>
      <c r="AQ37" s="18">
        <f t="shared" si="63"/>
        <v>0</v>
      </c>
      <c r="AR37" s="18">
        <f t="shared" si="64"/>
        <v>0</v>
      </c>
      <c r="AS37" s="18">
        <f t="shared" si="65"/>
        <v>0</v>
      </c>
      <c r="AT37" s="18">
        <f t="shared" si="66"/>
        <v>0</v>
      </c>
      <c r="AU37" s="18">
        <f t="shared" si="67"/>
        <v>0</v>
      </c>
      <c r="AV37" s="18">
        <f t="shared" si="68"/>
        <v>0</v>
      </c>
      <c r="AW37" s="18">
        <f t="shared" si="69"/>
        <v>0</v>
      </c>
      <c r="AX37" s="18">
        <f t="shared" si="70"/>
        <v>0</v>
      </c>
      <c r="AY37" s="18">
        <f t="shared" si="71"/>
        <v>0</v>
      </c>
      <c r="AZ37" s="23">
        <f t="shared" si="45"/>
        <v>28</v>
      </c>
      <c r="BA37" s="18">
        <f t="shared" si="46"/>
        <v>24</v>
      </c>
      <c r="BB37" s="24">
        <f t="shared" si="47"/>
        <v>28</v>
      </c>
      <c r="BC37" s="25">
        <f t="shared" si="48"/>
        <v>1</v>
      </c>
      <c r="BD37" s="26">
        <f>VLOOKUP(B37,'Jan''26- Leave Bal'!$B$3:$D$83,3,0)</f>
        <v>0</v>
      </c>
      <c r="BE37" s="27">
        <f>VLOOKUP(B37,'Jan''26- Leave Bal'!$B$3:$E$83,4,0)+$BE$3</f>
        <v>1</v>
      </c>
      <c r="BF37" s="27">
        <f>VLOOKUP(B37,'Jan''26- Leave Bal'!$B$3:$F$83,5,0)+$BF$3</f>
        <v>1</v>
      </c>
      <c r="BG37" s="27">
        <f>VLOOKUP(B37,'Jan''26- Leave Bal'!$B$3:$G$83,6,0)+$BG$3</f>
        <v>2</v>
      </c>
      <c r="BH37" s="27">
        <f>VLOOKUP(B37,'Jan''26- Leave Bal'!$B$3:$H$83,7,0)</f>
        <v>15</v>
      </c>
      <c r="BI37" s="27">
        <f>VLOOKUP(B37,'Jan''26- Leave Bal'!$B$3:$I$83,8,0)+$BI$3</f>
        <v>0.75</v>
      </c>
      <c r="BJ37" s="28">
        <f t="shared" si="49"/>
        <v>0</v>
      </c>
      <c r="BK37" s="28">
        <f t="shared" si="50"/>
        <v>0</v>
      </c>
      <c r="BL37" s="28">
        <f t="shared" si="51"/>
        <v>0</v>
      </c>
      <c r="BM37" s="28">
        <f t="shared" si="52"/>
        <v>0</v>
      </c>
      <c r="BN37" s="28">
        <f t="shared" si="53"/>
        <v>0</v>
      </c>
      <c r="BO37" s="28">
        <f t="shared" si="54"/>
        <v>0</v>
      </c>
      <c r="BP37" s="28">
        <f t="shared" si="55"/>
        <v>0</v>
      </c>
      <c r="BQ37" s="26">
        <f t="shared" si="56"/>
        <v>1</v>
      </c>
      <c r="BR37" s="26">
        <f t="shared" si="57"/>
        <v>1</v>
      </c>
      <c r="BS37" s="26">
        <f t="shared" si="58"/>
        <v>2</v>
      </c>
      <c r="BT37" s="26">
        <f t="shared" si="59"/>
        <v>15</v>
      </c>
      <c r="BU37" s="26">
        <f t="shared" si="60"/>
        <v>0.75</v>
      </c>
      <c r="BV37" s="17" t="s">
        <v>253</v>
      </c>
      <c r="BW37" s="17" t="s">
        <v>254</v>
      </c>
    </row>
    <row r="38" spans="1:75" ht="12" x14ac:dyDescent="0.3">
      <c r="A38" s="18">
        <v>35</v>
      </c>
      <c r="B38" s="18" t="s">
        <v>143</v>
      </c>
      <c r="C38" s="47"/>
      <c r="D38" s="18" t="s">
        <v>134</v>
      </c>
      <c r="E38" s="19" t="s">
        <v>135</v>
      </c>
      <c r="F38" s="18" t="s">
        <v>141</v>
      </c>
      <c r="G38" s="18" t="s">
        <v>77</v>
      </c>
      <c r="H38" s="18">
        <v>8374717290</v>
      </c>
      <c r="I38" s="18" t="s">
        <v>144</v>
      </c>
      <c r="J38" s="35">
        <v>45047</v>
      </c>
      <c r="K38" s="36"/>
      <c r="L38" s="22" t="s">
        <v>17</v>
      </c>
      <c r="M38" s="22" t="s">
        <v>17</v>
      </c>
      <c r="N38" s="18" t="s">
        <v>18</v>
      </c>
      <c r="O38" s="18" t="s">
        <v>62</v>
      </c>
      <c r="P38" s="18" t="s">
        <v>62</v>
      </c>
      <c r="Q38" s="18" t="s">
        <v>62</v>
      </c>
      <c r="R38" s="18" t="s">
        <v>62</v>
      </c>
      <c r="S38" s="18" t="s">
        <v>62</v>
      </c>
      <c r="T38" s="18" t="s">
        <v>62</v>
      </c>
      <c r="U38" s="18" t="s">
        <v>62</v>
      </c>
      <c r="V38" s="23" t="s">
        <v>62</v>
      </c>
      <c r="W38" s="18" t="s">
        <v>62</v>
      </c>
      <c r="X38" s="18" t="s">
        <v>62</v>
      </c>
      <c r="Y38" s="18" t="s">
        <v>17</v>
      </c>
      <c r="Z38" s="18" t="s">
        <v>21</v>
      </c>
      <c r="AA38" s="18" t="s">
        <v>21</v>
      </c>
      <c r="AB38" s="18" t="s">
        <v>21</v>
      </c>
      <c r="AC38" s="18" t="s">
        <v>21</v>
      </c>
      <c r="AD38" s="18" t="s">
        <v>21</v>
      </c>
      <c r="AE38" s="18" t="s">
        <v>21</v>
      </c>
      <c r="AF38" s="18" t="s">
        <v>21</v>
      </c>
      <c r="AG38" s="18" t="s">
        <v>21</v>
      </c>
      <c r="AH38" s="18" t="s">
        <v>21</v>
      </c>
      <c r="AI38" s="18" t="s">
        <v>21</v>
      </c>
      <c r="AJ38" s="18" t="s">
        <v>21</v>
      </c>
      <c r="AK38" s="18" t="s">
        <v>21</v>
      </c>
      <c r="AL38" s="18" t="s">
        <v>21</v>
      </c>
      <c r="AM38" s="18" t="s">
        <v>21</v>
      </c>
      <c r="AN38" s="18">
        <f t="shared" si="33"/>
        <v>10</v>
      </c>
      <c r="AO38" s="18">
        <f t="shared" si="61"/>
        <v>3</v>
      </c>
      <c r="AP38" s="18">
        <f t="shared" si="62"/>
        <v>1</v>
      </c>
      <c r="AQ38" s="18">
        <f t="shared" si="63"/>
        <v>0</v>
      </c>
      <c r="AR38" s="18">
        <f t="shared" si="64"/>
        <v>0</v>
      </c>
      <c r="AS38" s="18">
        <f t="shared" si="65"/>
        <v>14</v>
      </c>
      <c r="AT38" s="18">
        <f t="shared" si="66"/>
        <v>0</v>
      </c>
      <c r="AU38" s="18">
        <f t="shared" si="67"/>
        <v>0</v>
      </c>
      <c r="AV38" s="18">
        <f t="shared" si="68"/>
        <v>0</v>
      </c>
      <c r="AW38" s="18">
        <f t="shared" si="69"/>
        <v>0</v>
      </c>
      <c r="AX38" s="18">
        <f t="shared" si="70"/>
        <v>0</v>
      </c>
      <c r="AY38" s="18">
        <f t="shared" si="71"/>
        <v>0</v>
      </c>
      <c r="AZ38" s="23">
        <f t="shared" si="45"/>
        <v>28</v>
      </c>
      <c r="BA38" s="18">
        <f t="shared" si="46"/>
        <v>25</v>
      </c>
      <c r="BB38" s="24">
        <f t="shared" si="47"/>
        <v>28</v>
      </c>
      <c r="BC38" s="25">
        <f t="shared" si="48"/>
        <v>0.4</v>
      </c>
      <c r="BD38" s="26">
        <f>VLOOKUP(B38,'Jan''26- Leave Bal'!$B$3:$D$83,3,0)</f>
        <v>0</v>
      </c>
      <c r="BE38" s="27">
        <f>VLOOKUP(B38,'Jan''26- Leave Bal'!$B$3:$E$83,4,0)+$BE$3</f>
        <v>1</v>
      </c>
      <c r="BF38" s="27">
        <f>VLOOKUP(B38,'Jan''26- Leave Bal'!$B$3:$F$83,5,0)+$BF$3</f>
        <v>1</v>
      </c>
      <c r="BG38" s="27">
        <f>VLOOKUP(B38,'Jan''26- Leave Bal'!$B$3:$G$83,6,0)+$BG$3</f>
        <v>5.5</v>
      </c>
      <c r="BH38" s="27">
        <f>VLOOKUP(B38,'Jan''26- Leave Bal'!$B$3:$H$83,7,0)</f>
        <v>15</v>
      </c>
      <c r="BI38" s="27">
        <f>VLOOKUP(B38,'Jan''26- Leave Bal'!$B$3:$I$83,8,0)+$BI$3</f>
        <v>0.75</v>
      </c>
      <c r="BJ38" s="28">
        <f t="shared" si="49"/>
        <v>0</v>
      </c>
      <c r="BK38" s="28">
        <f t="shared" si="50"/>
        <v>1</v>
      </c>
      <c r="BL38" s="28">
        <f t="shared" si="51"/>
        <v>0</v>
      </c>
      <c r="BM38" s="28">
        <f t="shared" si="52"/>
        <v>0</v>
      </c>
      <c r="BN38" s="28">
        <f t="shared" si="53"/>
        <v>14</v>
      </c>
      <c r="BO38" s="28">
        <f t="shared" si="54"/>
        <v>0</v>
      </c>
      <c r="BP38" s="28">
        <f t="shared" si="55"/>
        <v>0</v>
      </c>
      <c r="BQ38" s="26">
        <f t="shared" si="56"/>
        <v>0</v>
      </c>
      <c r="BR38" s="26">
        <f t="shared" si="57"/>
        <v>1</v>
      </c>
      <c r="BS38" s="26">
        <f t="shared" si="58"/>
        <v>5.5</v>
      </c>
      <c r="BT38" s="26">
        <f t="shared" si="59"/>
        <v>1</v>
      </c>
      <c r="BU38" s="26">
        <f t="shared" si="60"/>
        <v>0.75</v>
      </c>
      <c r="BW38" s="17">
        <v>0</v>
      </c>
    </row>
    <row r="39" spans="1:75" ht="12" x14ac:dyDescent="0.3">
      <c r="A39" s="18">
        <v>36</v>
      </c>
      <c r="B39" s="18" t="s">
        <v>145</v>
      </c>
      <c r="C39" s="45"/>
      <c r="D39" s="18" t="s">
        <v>134</v>
      </c>
      <c r="E39" s="19" t="s">
        <v>135</v>
      </c>
      <c r="F39" s="18" t="s">
        <v>141</v>
      </c>
      <c r="G39" s="18" t="s">
        <v>77</v>
      </c>
      <c r="H39" s="18">
        <v>7989605125</v>
      </c>
      <c r="I39" s="18" t="s">
        <v>146</v>
      </c>
      <c r="J39" s="20">
        <v>45159</v>
      </c>
      <c r="K39" s="21"/>
      <c r="L39" s="18" t="s">
        <v>62</v>
      </c>
      <c r="M39" s="18" t="s">
        <v>62</v>
      </c>
      <c r="N39" s="18" t="s">
        <v>62</v>
      </c>
      <c r="O39" s="18" t="s">
        <v>62</v>
      </c>
      <c r="P39" s="18" t="s">
        <v>62</v>
      </c>
      <c r="Q39" s="18" t="s">
        <v>62</v>
      </c>
      <c r="R39" s="22" t="s">
        <v>17</v>
      </c>
      <c r="S39" s="18" t="s">
        <v>62</v>
      </c>
      <c r="T39" s="18" t="s">
        <v>62</v>
      </c>
      <c r="U39" s="18" t="s">
        <v>62</v>
      </c>
      <c r="V39" s="18" t="s">
        <v>62</v>
      </c>
      <c r="W39" s="18" t="s">
        <v>62</v>
      </c>
      <c r="X39" s="23" t="s">
        <v>17</v>
      </c>
      <c r="Y39" s="18" t="s">
        <v>62</v>
      </c>
      <c r="Z39" s="18" t="s">
        <v>62</v>
      </c>
      <c r="AA39" s="18" t="s">
        <v>18</v>
      </c>
      <c r="AB39" s="18" t="s">
        <v>17</v>
      </c>
      <c r="AC39" s="18" t="s">
        <v>18</v>
      </c>
      <c r="AD39" s="18" t="s">
        <v>18</v>
      </c>
      <c r="AE39" s="18" t="s">
        <v>18</v>
      </c>
      <c r="AF39" s="18" t="s">
        <v>18</v>
      </c>
      <c r="AG39" s="18" t="s">
        <v>18</v>
      </c>
      <c r="AH39" s="18" t="s">
        <v>18</v>
      </c>
      <c r="AI39" s="18" t="s">
        <v>62</v>
      </c>
      <c r="AJ39" s="18" t="s">
        <v>62</v>
      </c>
      <c r="AK39" s="18" t="s">
        <v>62</v>
      </c>
      <c r="AL39" s="18" t="s">
        <v>62</v>
      </c>
      <c r="AM39" s="18" t="s">
        <v>62</v>
      </c>
      <c r="AN39" s="18">
        <f t="shared" si="33"/>
        <v>18</v>
      </c>
      <c r="AO39" s="18">
        <f t="shared" si="61"/>
        <v>3</v>
      </c>
      <c r="AP39" s="18">
        <f t="shared" si="62"/>
        <v>7</v>
      </c>
      <c r="AQ39" s="18">
        <f t="shared" si="63"/>
        <v>0</v>
      </c>
      <c r="AR39" s="18">
        <f t="shared" si="64"/>
        <v>0</v>
      </c>
      <c r="AS39" s="18">
        <f t="shared" si="65"/>
        <v>0</v>
      </c>
      <c r="AT39" s="18">
        <f t="shared" si="66"/>
        <v>0</v>
      </c>
      <c r="AU39" s="18">
        <f t="shared" si="67"/>
        <v>0</v>
      </c>
      <c r="AV39" s="18">
        <f t="shared" si="68"/>
        <v>0</v>
      </c>
      <c r="AW39" s="18">
        <f t="shared" si="69"/>
        <v>0</v>
      </c>
      <c r="AX39" s="18">
        <f t="shared" si="70"/>
        <v>0</v>
      </c>
      <c r="AY39" s="18">
        <f t="shared" si="71"/>
        <v>0</v>
      </c>
      <c r="AZ39" s="23">
        <f t="shared" si="45"/>
        <v>28</v>
      </c>
      <c r="BA39" s="18">
        <f t="shared" si="46"/>
        <v>25</v>
      </c>
      <c r="BB39" s="24">
        <f t="shared" si="47"/>
        <v>26</v>
      </c>
      <c r="BC39" s="25">
        <f t="shared" si="48"/>
        <v>0.72</v>
      </c>
      <c r="BD39" s="26">
        <f>VLOOKUP(B39,'Jan''26- Leave Bal'!$B$3:$D$83,3,0)</f>
        <v>0</v>
      </c>
      <c r="BE39" s="27">
        <f>VLOOKUP(B39,'Jan''26- Leave Bal'!$B$3:$E$83,4,0)+$BE$3</f>
        <v>0.5</v>
      </c>
      <c r="BF39" s="27">
        <f>VLOOKUP(B39,'Jan''26- Leave Bal'!$B$3:$F$83,5,0)+$BF$3</f>
        <v>1.5</v>
      </c>
      <c r="BG39" s="27">
        <f>VLOOKUP(B39,'Jan''26- Leave Bal'!$B$3:$G$83,6,0)+$BG$3</f>
        <v>3</v>
      </c>
      <c r="BH39" s="27">
        <f>VLOOKUP(B39,'Jan''26- Leave Bal'!$B$3:$H$83,7,0)</f>
        <v>0</v>
      </c>
      <c r="BI39" s="27">
        <f>VLOOKUP(B39,'Jan''26- Leave Bal'!$B$3:$I$83,8,0)+$BI$3</f>
        <v>0.75</v>
      </c>
      <c r="BJ39" s="28">
        <f t="shared" si="49"/>
        <v>0</v>
      </c>
      <c r="BK39" s="28">
        <f t="shared" si="50"/>
        <v>0.5</v>
      </c>
      <c r="BL39" s="28">
        <f t="shared" si="51"/>
        <v>1.5</v>
      </c>
      <c r="BM39" s="28">
        <f t="shared" si="52"/>
        <v>3</v>
      </c>
      <c r="BN39" s="28">
        <f t="shared" si="53"/>
        <v>0</v>
      </c>
      <c r="BO39" s="28">
        <f t="shared" si="54"/>
        <v>2</v>
      </c>
      <c r="BP39" s="28">
        <f t="shared" si="55"/>
        <v>0</v>
      </c>
      <c r="BQ39" s="26">
        <f t="shared" si="56"/>
        <v>0</v>
      </c>
      <c r="BR39" s="26">
        <f t="shared" si="57"/>
        <v>0</v>
      </c>
      <c r="BS39" s="26">
        <f t="shared" si="58"/>
        <v>0</v>
      </c>
      <c r="BT39" s="26">
        <f t="shared" si="59"/>
        <v>0</v>
      </c>
      <c r="BU39" s="26">
        <f t="shared" si="60"/>
        <v>0.75</v>
      </c>
      <c r="BW39" s="17">
        <v>0</v>
      </c>
    </row>
    <row r="40" spans="1:75" ht="12" x14ac:dyDescent="0.3">
      <c r="A40" s="18">
        <v>37</v>
      </c>
      <c r="B40" s="18" t="s">
        <v>147</v>
      </c>
      <c r="C40" s="45"/>
      <c r="D40" s="18" t="s">
        <v>134</v>
      </c>
      <c r="E40" s="19" t="s">
        <v>135</v>
      </c>
      <c r="F40" s="18" t="s">
        <v>141</v>
      </c>
      <c r="G40" s="18" t="s">
        <v>60</v>
      </c>
      <c r="H40" s="18">
        <v>9014562381</v>
      </c>
      <c r="I40" s="18" t="s">
        <v>148</v>
      </c>
      <c r="J40" s="20">
        <v>45159</v>
      </c>
      <c r="K40" s="21"/>
      <c r="L40" s="18" t="s">
        <v>62</v>
      </c>
      <c r="M40" s="18" t="s">
        <v>62</v>
      </c>
      <c r="N40" s="18" t="s">
        <v>62</v>
      </c>
      <c r="O40" s="18" t="s">
        <v>62</v>
      </c>
      <c r="P40" s="18" t="s">
        <v>62</v>
      </c>
      <c r="Q40" s="18" t="s">
        <v>62</v>
      </c>
      <c r="R40" s="18" t="s">
        <v>62</v>
      </c>
      <c r="S40" s="18" t="s">
        <v>17</v>
      </c>
      <c r="T40" s="18" t="s">
        <v>62</v>
      </c>
      <c r="U40" s="18" t="s">
        <v>62</v>
      </c>
      <c r="V40" s="23" t="s">
        <v>62</v>
      </c>
      <c r="W40" s="18" t="s">
        <v>62</v>
      </c>
      <c r="X40" s="18" t="s">
        <v>62</v>
      </c>
      <c r="Y40" s="18" t="s">
        <v>17</v>
      </c>
      <c r="Z40" s="18" t="s">
        <v>62</v>
      </c>
      <c r="AA40" s="18" t="s">
        <v>62</v>
      </c>
      <c r="AB40" s="18" t="s">
        <v>62</v>
      </c>
      <c r="AC40" s="18" t="s">
        <v>62</v>
      </c>
      <c r="AD40" s="18" t="s">
        <v>62</v>
      </c>
      <c r="AE40" s="18" t="s">
        <v>62</v>
      </c>
      <c r="AF40" s="18" t="s">
        <v>17</v>
      </c>
      <c r="AG40" s="18" t="s">
        <v>62</v>
      </c>
      <c r="AH40" s="18" t="s">
        <v>62</v>
      </c>
      <c r="AI40" s="18" t="s">
        <v>62</v>
      </c>
      <c r="AJ40" s="18" t="s">
        <v>62</v>
      </c>
      <c r="AK40" s="18" t="s">
        <v>62</v>
      </c>
      <c r="AL40" s="18" t="s">
        <v>17</v>
      </c>
      <c r="AM40" s="18" t="s">
        <v>18</v>
      </c>
      <c r="AN40" s="18">
        <f t="shared" si="33"/>
        <v>23</v>
      </c>
      <c r="AO40" s="18">
        <f t="shared" si="61"/>
        <v>4</v>
      </c>
      <c r="AP40" s="18">
        <f t="shared" si="62"/>
        <v>1</v>
      </c>
      <c r="AQ40" s="18">
        <f t="shared" si="63"/>
        <v>0</v>
      </c>
      <c r="AR40" s="18">
        <f t="shared" si="64"/>
        <v>0</v>
      </c>
      <c r="AS40" s="18">
        <f t="shared" si="65"/>
        <v>0</v>
      </c>
      <c r="AT40" s="18">
        <f t="shared" si="66"/>
        <v>0</v>
      </c>
      <c r="AU40" s="18">
        <f t="shared" si="67"/>
        <v>0</v>
      </c>
      <c r="AV40" s="18">
        <f t="shared" si="68"/>
        <v>0</v>
      </c>
      <c r="AW40" s="18">
        <f t="shared" si="69"/>
        <v>0</v>
      </c>
      <c r="AX40" s="18">
        <f t="shared" si="70"/>
        <v>0</v>
      </c>
      <c r="AY40" s="18">
        <f t="shared" si="71"/>
        <v>0</v>
      </c>
      <c r="AZ40" s="23">
        <f t="shared" si="45"/>
        <v>28</v>
      </c>
      <c r="BA40" s="18">
        <f t="shared" si="46"/>
        <v>24</v>
      </c>
      <c r="BB40" s="24">
        <f t="shared" si="47"/>
        <v>28</v>
      </c>
      <c r="BC40" s="25">
        <f t="shared" si="48"/>
        <v>0.95833333333333337</v>
      </c>
      <c r="BD40" s="26">
        <f>VLOOKUP(B40,'Jan''26- Leave Bal'!$B$3:$D$83,3,0)</f>
        <v>2</v>
      </c>
      <c r="BE40" s="27">
        <f>VLOOKUP(B40,'Jan''26- Leave Bal'!$B$3:$E$83,4,0)+$BE$3</f>
        <v>5.5</v>
      </c>
      <c r="BF40" s="27">
        <f>VLOOKUP(B40,'Jan''26- Leave Bal'!$B$3:$F$83,5,0)+$BF$3</f>
        <v>5.5</v>
      </c>
      <c r="BG40" s="27">
        <f>VLOOKUP(B40,'Jan''26- Leave Bal'!$B$3:$G$83,6,0)+$BG$3</f>
        <v>13</v>
      </c>
      <c r="BH40" s="27">
        <f>VLOOKUP(B40,'Jan''26- Leave Bal'!$B$3:$H$83,7,0)</f>
        <v>15</v>
      </c>
      <c r="BI40" s="27">
        <f>VLOOKUP(B40,'Jan''26- Leave Bal'!$B$3:$I$83,8,0)+$BI$3</f>
        <v>0.75</v>
      </c>
      <c r="BJ40" s="28">
        <f t="shared" si="49"/>
        <v>1</v>
      </c>
      <c r="BK40" s="28">
        <f t="shared" si="50"/>
        <v>0</v>
      </c>
      <c r="BL40" s="28">
        <f t="shared" si="51"/>
        <v>0</v>
      </c>
      <c r="BM40" s="28">
        <f t="shared" si="52"/>
        <v>0</v>
      </c>
      <c r="BN40" s="28">
        <f t="shared" si="53"/>
        <v>0</v>
      </c>
      <c r="BO40" s="28">
        <f t="shared" si="54"/>
        <v>0</v>
      </c>
      <c r="BP40" s="28">
        <f t="shared" si="55"/>
        <v>1</v>
      </c>
      <c r="BQ40" s="26">
        <f t="shared" si="56"/>
        <v>5.5</v>
      </c>
      <c r="BR40" s="26">
        <f t="shared" si="57"/>
        <v>5.5</v>
      </c>
      <c r="BS40" s="26">
        <f t="shared" si="58"/>
        <v>13</v>
      </c>
      <c r="BT40" s="26">
        <f t="shared" si="59"/>
        <v>15</v>
      </c>
      <c r="BU40" s="26">
        <f t="shared" si="60"/>
        <v>0.75</v>
      </c>
      <c r="BV40" s="17" t="s">
        <v>253</v>
      </c>
      <c r="BW40" s="17" t="s">
        <v>254</v>
      </c>
    </row>
    <row r="41" spans="1:75" ht="12" x14ac:dyDescent="0.3">
      <c r="A41" s="18">
        <v>38</v>
      </c>
      <c r="B41" s="18" t="s">
        <v>149</v>
      </c>
      <c r="C41" s="45"/>
      <c r="D41" s="18" t="s">
        <v>134</v>
      </c>
      <c r="E41" s="19" t="s">
        <v>135</v>
      </c>
      <c r="F41" s="18" t="s">
        <v>59</v>
      </c>
      <c r="G41" s="18" t="s">
        <v>77</v>
      </c>
      <c r="H41" s="18">
        <v>7794903282</v>
      </c>
      <c r="I41" s="18" t="s">
        <v>150</v>
      </c>
      <c r="J41" s="20">
        <v>45159</v>
      </c>
      <c r="K41" s="21"/>
      <c r="L41" s="22" t="s">
        <v>17</v>
      </c>
      <c r="M41" s="18" t="s">
        <v>62</v>
      </c>
      <c r="N41" s="22" t="s">
        <v>17</v>
      </c>
      <c r="O41" s="18" t="s">
        <v>62</v>
      </c>
      <c r="P41" s="18" t="s">
        <v>18</v>
      </c>
      <c r="Q41" s="18" t="s">
        <v>18</v>
      </c>
      <c r="R41" s="18" t="s">
        <v>18</v>
      </c>
      <c r="S41" s="18" t="s">
        <v>62</v>
      </c>
      <c r="T41" s="18" t="s">
        <v>18</v>
      </c>
      <c r="U41" s="18" t="s">
        <v>18</v>
      </c>
      <c r="V41" s="18" t="s">
        <v>62</v>
      </c>
      <c r="W41" s="23" t="s">
        <v>17</v>
      </c>
      <c r="X41" s="18" t="s">
        <v>62</v>
      </c>
      <c r="Y41" s="18" t="s">
        <v>62</v>
      </c>
      <c r="Z41" s="18" t="s">
        <v>62</v>
      </c>
      <c r="AA41" s="67" t="s">
        <v>17</v>
      </c>
      <c r="AB41" s="18" t="s">
        <v>18</v>
      </c>
      <c r="AC41" s="18" t="s">
        <v>62</v>
      </c>
      <c r="AD41" s="18" t="s">
        <v>62</v>
      </c>
      <c r="AE41" s="18" t="s">
        <v>62</v>
      </c>
      <c r="AF41" s="18" t="s">
        <v>62</v>
      </c>
      <c r="AG41" s="18" t="s">
        <v>62</v>
      </c>
      <c r="AH41" s="18" t="s">
        <v>62</v>
      </c>
      <c r="AI41" s="18" t="s">
        <v>62</v>
      </c>
      <c r="AJ41" s="18" t="s">
        <v>62</v>
      </c>
      <c r="AK41" s="18" t="s">
        <v>62</v>
      </c>
      <c r="AL41" s="18" t="s">
        <v>62</v>
      </c>
      <c r="AM41" s="18" t="s">
        <v>62</v>
      </c>
      <c r="AN41" s="18">
        <f t="shared" si="33"/>
        <v>18</v>
      </c>
      <c r="AO41" s="18">
        <f t="shared" si="61"/>
        <v>4</v>
      </c>
      <c r="AP41" s="18">
        <f t="shared" si="62"/>
        <v>6</v>
      </c>
      <c r="AQ41" s="18">
        <f t="shared" si="63"/>
        <v>0</v>
      </c>
      <c r="AR41" s="18">
        <f t="shared" si="64"/>
        <v>0</v>
      </c>
      <c r="AS41" s="18">
        <f t="shared" si="65"/>
        <v>0</v>
      </c>
      <c r="AT41" s="18">
        <f t="shared" si="66"/>
        <v>0</v>
      </c>
      <c r="AU41" s="18">
        <f t="shared" si="67"/>
        <v>0</v>
      </c>
      <c r="AV41" s="18">
        <f t="shared" si="68"/>
        <v>0</v>
      </c>
      <c r="AW41" s="18">
        <f t="shared" si="69"/>
        <v>0</v>
      </c>
      <c r="AX41" s="18">
        <f t="shared" si="70"/>
        <v>0</v>
      </c>
      <c r="AY41" s="18">
        <f t="shared" si="71"/>
        <v>0</v>
      </c>
      <c r="AZ41" s="23">
        <f t="shared" si="45"/>
        <v>28</v>
      </c>
      <c r="BA41" s="18">
        <f t="shared" si="46"/>
        <v>24</v>
      </c>
      <c r="BB41" s="24">
        <f t="shared" si="47"/>
        <v>28</v>
      </c>
      <c r="BC41" s="25">
        <f t="shared" si="48"/>
        <v>0.75</v>
      </c>
      <c r="BD41" s="26">
        <f>VLOOKUP(B41,'Jan''26- Leave Bal'!$B$3:$D$83,3,0)</f>
        <v>0</v>
      </c>
      <c r="BE41" s="27">
        <f>VLOOKUP(B41,'Jan''26- Leave Bal'!$B$3:$E$83,4,0)+$BE$3</f>
        <v>1</v>
      </c>
      <c r="BF41" s="27">
        <f>VLOOKUP(B41,'Jan''26- Leave Bal'!$B$3:$F$83,5,0)+$BF$3</f>
        <v>1</v>
      </c>
      <c r="BG41" s="27">
        <f>VLOOKUP(B41,'Jan''26- Leave Bal'!$B$3:$G$83,6,0)+$BG$3</f>
        <v>8</v>
      </c>
      <c r="BH41" s="27">
        <f>VLOOKUP(B41,'Jan''26- Leave Bal'!$B$3:$H$83,7,0)</f>
        <v>15</v>
      </c>
      <c r="BI41" s="27">
        <f>VLOOKUP(B41,'Jan''26- Leave Bal'!$B$3:$I$83,8,0)+$BI$3</f>
        <v>0.75</v>
      </c>
      <c r="BJ41" s="28">
        <f t="shared" si="49"/>
        <v>0</v>
      </c>
      <c r="BK41" s="28">
        <f t="shared" si="50"/>
        <v>1</v>
      </c>
      <c r="BL41" s="28">
        <f t="shared" si="51"/>
        <v>1</v>
      </c>
      <c r="BM41" s="28">
        <f t="shared" si="52"/>
        <v>4</v>
      </c>
      <c r="BN41" s="28">
        <f t="shared" si="53"/>
        <v>0</v>
      </c>
      <c r="BO41" s="28">
        <f t="shared" si="54"/>
        <v>0</v>
      </c>
      <c r="BP41" s="28">
        <f t="shared" si="55"/>
        <v>0</v>
      </c>
      <c r="BQ41" s="26">
        <f t="shared" si="56"/>
        <v>0</v>
      </c>
      <c r="BR41" s="26">
        <f t="shared" si="57"/>
        <v>0</v>
      </c>
      <c r="BS41" s="26">
        <f t="shared" si="58"/>
        <v>4</v>
      </c>
      <c r="BT41" s="26">
        <f t="shared" si="59"/>
        <v>15</v>
      </c>
      <c r="BU41" s="26">
        <f t="shared" si="60"/>
        <v>0.75</v>
      </c>
      <c r="BW41" s="17">
        <v>0</v>
      </c>
    </row>
    <row r="42" spans="1:75" ht="18.75" customHeight="1" x14ac:dyDescent="0.3">
      <c r="A42" s="18">
        <v>39</v>
      </c>
      <c r="B42" s="18" t="s">
        <v>151</v>
      </c>
      <c r="C42" s="48"/>
      <c r="D42" s="18" t="s">
        <v>134</v>
      </c>
      <c r="E42" s="19" t="s">
        <v>135</v>
      </c>
      <c r="F42" s="18" t="s">
        <v>59</v>
      </c>
      <c r="G42" s="18" t="s">
        <v>77</v>
      </c>
      <c r="H42" s="19">
        <v>8367714643</v>
      </c>
      <c r="I42" s="18" t="s">
        <v>152</v>
      </c>
      <c r="J42" s="20">
        <v>45139</v>
      </c>
      <c r="K42" s="21"/>
      <c r="L42" s="18" t="s">
        <v>62</v>
      </c>
      <c r="M42" s="18" t="s">
        <v>62</v>
      </c>
      <c r="N42" s="18" t="s">
        <v>62</v>
      </c>
      <c r="O42" s="18" t="s">
        <v>62</v>
      </c>
      <c r="P42" s="18" t="s">
        <v>62</v>
      </c>
      <c r="Q42" s="18" t="s">
        <v>62</v>
      </c>
      <c r="R42" s="18" t="s">
        <v>62</v>
      </c>
      <c r="S42" s="23" t="s">
        <v>17</v>
      </c>
      <c r="T42" s="18" t="s">
        <v>62</v>
      </c>
      <c r="U42" s="18" t="s">
        <v>62</v>
      </c>
      <c r="V42" s="23" t="s">
        <v>62</v>
      </c>
      <c r="W42" s="18" t="s">
        <v>62</v>
      </c>
      <c r="X42" s="18" t="s">
        <v>62</v>
      </c>
      <c r="Y42" s="18" t="s">
        <v>62</v>
      </c>
      <c r="Z42" s="18" t="s">
        <v>17</v>
      </c>
      <c r="AA42" s="18" t="s">
        <v>62</v>
      </c>
      <c r="AB42" s="18" t="s">
        <v>62</v>
      </c>
      <c r="AC42" s="18" t="s">
        <v>62</v>
      </c>
      <c r="AD42" s="18" t="s">
        <v>62</v>
      </c>
      <c r="AE42" s="18" t="s">
        <v>62</v>
      </c>
      <c r="AF42" s="18" t="s">
        <v>62</v>
      </c>
      <c r="AG42" s="18" t="s">
        <v>17</v>
      </c>
      <c r="AH42" s="18" t="s">
        <v>18</v>
      </c>
      <c r="AI42" s="18" t="s">
        <v>62</v>
      </c>
      <c r="AJ42" s="18" t="s">
        <v>62</v>
      </c>
      <c r="AK42" s="18" t="s">
        <v>62</v>
      </c>
      <c r="AL42" s="18" t="s">
        <v>62</v>
      </c>
      <c r="AM42" s="18" t="s">
        <v>17</v>
      </c>
      <c r="AN42" s="18">
        <f t="shared" si="33"/>
        <v>23</v>
      </c>
      <c r="AO42" s="18">
        <f t="shared" si="61"/>
        <v>4</v>
      </c>
      <c r="AP42" s="18">
        <f t="shared" si="62"/>
        <v>1</v>
      </c>
      <c r="AQ42" s="18">
        <f>COUNTIF(N42:AM42,"HFL")/2</f>
        <v>0</v>
      </c>
      <c r="AR42" s="18">
        <f t="shared" si="64"/>
        <v>0</v>
      </c>
      <c r="AS42" s="18">
        <f>COUNTIF(N42:AM42,"MG")</f>
        <v>0</v>
      </c>
      <c r="AT42" s="18">
        <f>COUNTIF(N42:AM42,"ML")</f>
        <v>0</v>
      </c>
      <c r="AU42" s="18">
        <f>COUNTIF(N42:AM42,"UL")</f>
        <v>0</v>
      </c>
      <c r="AV42" s="18">
        <f>COUNTIF(N42:AM42,"MC")</f>
        <v>0</v>
      </c>
      <c r="AW42" s="18">
        <f>COUNTIF(N42:AM42,"BL")</f>
        <v>0</v>
      </c>
      <c r="AX42" s="18">
        <f>COUNTIF(N42:AM42,"MDL")</f>
        <v>0</v>
      </c>
      <c r="AY42" s="18">
        <f>COUNTIF(N42:AM42,"LOP")</f>
        <v>0</v>
      </c>
      <c r="AZ42" s="23">
        <f t="shared" si="45"/>
        <v>28</v>
      </c>
      <c r="BA42" s="18">
        <f t="shared" si="46"/>
        <v>24</v>
      </c>
      <c r="BB42" s="24">
        <f t="shared" si="47"/>
        <v>28</v>
      </c>
      <c r="BC42" s="25">
        <f t="shared" si="48"/>
        <v>0.95833333333333337</v>
      </c>
      <c r="BD42" s="26">
        <f>VLOOKUP(B42,'Jan''26- Leave Bal'!$B$3:$D$83,3,0)</f>
        <v>0</v>
      </c>
      <c r="BE42" s="27">
        <f>VLOOKUP(B42,'Jan''26- Leave Bal'!$B$3:$E$83,4,0)+$BE$3</f>
        <v>0.5</v>
      </c>
      <c r="BF42" s="27">
        <f>VLOOKUP(B42,'Jan''26- Leave Bal'!$B$3:$F$83,5,0)+$BF$3</f>
        <v>0.5</v>
      </c>
      <c r="BG42" s="27">
        <f>VLOOKUP(B42,'Jan''26- Leave Bal'!$B$3:$G$83,6,0)+$BG$3</f>
        <v>1</v>
      </c>
      <c r="BH42" s="27">
        <f>VLOOKUP(B42,'Jan''26- Leave Bal'!$B$3:$H$83,7,0)</f>
        <v>15</v>
      </c>
      <c r="BI42" s="27">
        <f>VLOOKUP(B42,'Jan''26- Leave Bal'!$B$3:$I$83,8,0)+$BI$3</f>
        <v>0.75</v>
      </c>
      <c r="BJ42" s="28">
        <f t="shared" si="49"/>
        <v>0</v>
      </c>
      <c r="BK42" s="28">
        <f t="shared" si="50"/>
        <v>0.5</v>
      </c>
      <c r="BL42" s="28">
        <f t="shared" si="51"/>
        <v>0.5</v>
      </c>
      <c r="BM42" s="28">
        <f t="shared" si="52"/>
        <v>0</v>
      </c>
      <c r="BN42" s="28">
        <f t="shared" si="53"/>
        <v>0</v>
      </c>
      <c r="BO42" s="28">
        <f t="shared" si="54"/>
        <v>0</v>
      </c>
      <c r="BP42" s="28">
        <f t="shared" si="55"/>
        <v>0</v>
      </c>
      <c r="BQ42" s="26">
        <f t="shared" si="56"/>
        <v>0</v>
      </c>
      <c r="BR42" s="26">
        <f t="shared" si="57"/>
        <v>0</v>
      </c>
      <c r="BS42" s="26">
        <f t="shared" si="58"/>
        <v>1</v>
      </c>
      <c r="BT42" s="26">
        <f t="shared" si="59"/>
        <v>15</v>
      </c>
      <c r="BU42" s="26">
        <f t="shared" si="60"/>
        <v>0.75</v>
      </c>
      <c r="BV42" s="17" t="s">
        <v>253</v>
      </c>
      <c r="BW42" s="17" t="s">
        <v>254</v>
      </c>
    </row>
    <row r="43" spans="1:75" ht="12" x14ac:dyDescent="0.3">
      <c r="A43" s="18">
        <v>40</v>
      </c>
      <c r="B43" s="18" t="s">
        <v>153</v>
      </c>
      <c r="C43" s="45"/>
      <c r="D43" s="18" t="s">
        <v>134</v>
      </c>
      <c r="E43" s="19" t="s">
        <v>135</v>
      </c>
      <c r="F43" s="18" t="s">
        <v>59</v>
      </c>
      <c r="G43" s="18" t="s">
        <v>77</v>
      </c>
      <c r="H43" s="18">
        <v>7093672179</v>
      </c>
      <c r="I43" s="18" t="s">
        <v>154</v>
      </c>
      <c r="J43" s="20">
        <v>44845</v>
      </c>
      <c r="K43" s="21"/>
      <c r="L43" s="18" t="s">
        <v>62</v>
      </c>
      <c r="M43" s="18" t="s">
        <v>62</v>
      </c>
      <c r="N43" s="18" t="s">
        <v>62</v>
      </c>
      <c r="O43" s="18" t="s">
        <v>62</v>
      </c>
      <c r="P43" s="18" t="s">
        <v>62</v>
      </c>
      <c r="Q43" s="18" t="s">
        <v>62</v>
      </c>
      <c r="R43" s="22" t="s">
        <v>17</v>
      </c>
      <c r="S43" s="18" t="s">
        <v>62</v>
      </c>
      <c r="T43" s="18" t="s">
        <v>62</v>
      </c>
      <c r="U43" s="18" t="s">
        <v>62</v>
      </c>
      <c r="V43" s="23" t="s">
        <v>62</v>
      </c>
      <c r="W43" s="23" t="s">
        <v>17</v>
      </c>
      <c r="X43" s="18" t="s">
        <v>62</v>
      </c>
      <c r="Y43" s="18" t="s">
        <v>62</v>
      </c>
      <c r="Z43" s="18" t="s">
        <v>62</v>
      </c>
      <c r="AA43" s="18" t="s">
        <v>62</v>
      </c>
      <c r="AB43" s="18" t="s">
        <v>62</v>
      </c>
      <c r="AC43" s="18" t="s">
        <v>62</v>
      </c>
      <c r="AD43" s="18" t="s">
        <v>62</v>
      </c>
      <c r="AE43" s="18" t="s">
        <v>62</v>
      </c>
      <c r="AF43" s="18" t="s">
        <v>62</v>
      </c>
      <c r="AG43" s="18" t="s">
        <v>17</v>
      </c>
      <c r="AH43" s="18" t="s">
        <v>62</v>
      </c>
      <c r="AI43" s="18" t="s">
        <v>62</v>
      </c>
      <c r="AJ43" s="18" t="s">
        <v>62</v>
      </c>
      <c r="AK43" s="18" t="s">
        <v>17</v>
      </c>
      <c r="AL43" s="18" t="s">
        <v>18</v>
      </c>
      <c r="AM43" s="18" t="s">
        <v>62</v>
      </c>
      <c r="AN43" s="18">
        <f t="shared" si="33"/>
        <v>23</v>
      </c>
      <c r="AO43" s="18">
        <f t="shared" si="61"/>
        <v>4</v>
      </c>
      <c r="AP43" s="18">
        <f t="shared" si="62"/>
        <v>1</v>
      </c>
      <c r="AQ43" s="18">
        <f t="shared" ref="AQ43:AQ69" si="72">COUNTIF(L43:AM43,"HFL")/2</f>
        <v>0</v>
      </c>
      <c r="AR43" s="18">
        <f t="shared" si="64"/>
        <v>0</v>
      </c>
      <c r="AS43" s="18">
        <f t="shared" ref="AS43:AS69" si="73">COUNTIF(L43:AM43,"MG")</f>
        <v>0</v>
      </c>
      <c r="AT43" s="18">
        <f t="shared" ref="AT43:AT69" si="74">COUNTIF(L43:AM43,"ML")</f>
        <v>0</v>
      </c>
      <c r="AU43" s="18">
        <f t="shared" ref="AU43:AU69" si="75">COUNTIF(L43:AM43,"UL")</f>
        <v>0</v>
      </c>
      <c r="AV43" s="18">
        <f t="shared" ref="AV43:AV69" si="76">COUNTIF(L43:AM43,"MC")</f>
        <v>0</v>
      </c>
      <c r="AW43" s="18">
        <f t="shared" ref="AW43:AW69" si="77">COUNTIF(L43:AM43,"BL")</f>
        <v>0</v>
      </c>
      <c r="AX43" s="18">
        <f t="shared" ref="AX43:AX69" si="78">COUNTIF(L43:AM43,"MDL")</f>
        <v>0</v>
      </c>
      <c r="AY43" s="18">
        <f t="shared" ref="AY43:AY69" si="79">COUNTIF(L43:AM43,"LOP")</f>
        <v>0</v>
      </c>
      <c r="AZ43" s="23">
        <f t="shared" si="45"/>
        <v>28</v>
      </c>
      <c r="BA43" s="18">
        <f t="shared" si="46"/>
        <v>24</v>
      </c>
      <c r="BB43" s="24">
        <f t="shared" si="47"/>
        <v>28</v>
      </c>
      <c r="BC43" s="25">
        <f t="shared" si="48"/>
        <v>0.95833333333333337</v>
      </c>
      <c r="BD43" s="26">
        <f>VLOOKUP(B43,'Jan''26- Leave Bal'!$B$3:$D$83,3,0)</f>
        <v>0</v>
      </c>
      <c r="BE43" s="27">
        <f>VLOOKUP(B43,'Jan''26- Leave Bal'!$B$3:$E$83,4,0)+$BE$3</f>
        <v>0.5</v>
      </c>
      <c r="BF43" s="27">
        <f>VLOOKUP(B43,'Jan''26- Leave Bal'!$B$3:$F$83,5,0)+$BF$3</f>
        <v>0.5</v>
      </c>
      <c r="BG43" s="27">
        <f>VLOOKUP(B43,'Jan''26- Leave Bal'!$B$3:$G$83,6,0)+$BG$3</f>
        <v>6.5</v>
      </c>
      <c r="BH43" s="27">
        <f>VLOOKUP(B43,'Jan''26- Leave Bal'!$B$3:$H$83,7,0)</f>
        <v>15</v>
      </c>
      <c r="BI43" s="27">
        <f>VLOOKUP(B43,'Jan''26- Leave Bal'!$B$3:$I$83,8,0)+$BI$3</f>
        <v>0.75</v>
      </c>
      <c r="BJ43" s="28">
        <f t="shared" si="49"/>
        <v>0</v>
      </c>
      <c r="BK43" s="28">
        <f t="shared" si="50"/>
        <v>0.5</v>
      </c>
      <c r="BL43" s="28">
        <f t="shared" si="51"/>
        <v>0.5</v>
      </c>
      <c r="BM43" s="28">
        <f t="shared" si="52"/>
        <v>0</v>
      </c>
      <c r="BN43" s="28">
        <f t="shared" si="53"/>
        <v>0</v>
      </c>
      <c r="BO43" s="28">
        <f t="shared" si="54"/>
        <v>0</v>
      </c>
      <c r="BP43" s="28">
        <f t="shared" si="55"/>
        <v>0</v>
      </c>
      <c r="BQ43" s="26">
        <f t="shared" si="56"/>
        <v>0</v>
      </c>
      <c r="BR43" s="26">
        <f t="shared" si="57"/>
        <v>0</v>
      </c>
      <c r="BS43" s="26">
        <f t="shared" si="58"/>
        <v>6.5</v>
      </c>
      <c r="BT43" s="26">
        <f t="shared" si="59"/>
        <v>15</v>
      </c>
      <c r="BU43" s="26">
        <f t="shared" si="60"/>
        <v>0.75</v>
      </c>
      <c r="BV43" s="17" t="s">
        <v>253</v>
      </c>
      <c r="BW43" s="17" t="s">
        <v>254</v>
      </c>
    </row>
    <row r="44" spans="1:75" ht="12" x14ac:dyDescent="0.3">
      <c r="A44" s="18">
        <v>41</v>
      </c>
      <c r="B44" s="18" t="s">
        <v>155</v>
      </c>
      <c r="C44" s="45"/>
      <c r="D44" s="18" t="s">
        <v>134</v>
      </c>
      <c r="E44" s="19" t="s">
        <v>135</v>
      </c>
      <c r="F44" s="18" t="s">
        <v>156</v>
      </c>
      <c r="G44" s="18" t="s">
        <v>77</v>
      </c>
      <c r="H44" s="18">
        <v>9398134097</v>
      </c>
      <c r="I44" s="18" t="s">
        <v>157</v>
      </c>
      <c r="J44" s="20">
        <v>45033</v>
      </c>
      <c r="K44" s="21"/>
      <c r="L44" s="22" t="s">
        <v>17</v>
      </c>
      <c r="M44" s="18" t="s">
        <v>62</v>
      </c>
      <c r="N44" s="18" t="s">
        <v>62</v>
      </c>
      <c r="O44" s="18" t="s">
        <v>62</v>
      </c>
      <c r="P44" s="18" t="s">
        <v>62</v>
      </c>
      <c r="Q44" s="18" t="s">
        <v>62</v>
      </c>
      <c r="R44" s="18" t="s">
        <v>62</v>
      </c>
      <c r="S44" s="18" t="s">
        <v>17</v>
      </c>
      <c r="T44" s="18" t="s">
        <v>62</v>
      </c>
      <c r="U44" s="18" t="s">
        <v>17</v>
      </c>
      <c r="V44" s="18" t="s">
        <v>62</v>
      </c>
      <c r="W44" s="18" t="s">
        <v>62</v>
      </c>
      <c r="X44" s="18" t="s">
        <v>62</v>
      </c>
      <c r="Y44" s="18" t="s">
        <v>62</v>
      </c>
      <c r="Z44" s="18" t="s">
        <v>62</v>
      </c>
      <c r="AA44" s="18" t="s">
        <v>19</v>
      </c>
      <c r="AB44" s="18" t="s">
        <v>62</v>
      </c>
      <c r="AC44" s="18" t="s">
        <v>62</v>
      </c>
      <c r="AD44" s="18" t="s">
        <v>62</v>
      </c>
      <c r="AE44" s="18" t="s">
        <v>62</v>
      </c>
      <c r="AF44" s="18" t="s">
        <v>62</v>
      </c>
      <c r="AG44" s="18" t="s">
        <v>17</v>
      </c>
      <c r="AH44" s="18" t="s">
        <v>62</v>
      </c>
      <c r="AI44" s="18" t="s">
        <v>62</v>
      </c>
      <c r="AJ44" s="18" t="s">
        <v>62</v>
      </c>
      <c r="AK44" s="18" t="s">
        <v>62</v>
      </c>
      <c r="AL44" s="18" t="s">
        <v>62</v>
      </c>
      <c r="AM44" s="18" t="s">
        <v>62</v>
      </c>
      <c r="AN44" s="18">
        <f t="shared" si="33"/>
        <v>23.5</v>
      </c>
      <c r="AO44" s="18">
        <f t="shared" si="61"/>
        <v>4</v>
      </c>
      <c r="AP44" s="18">
        <f t="shared" si="62"/>
        <v>0</v>
      </c>
      <c r="AQ44" s="18">
        <f t="shared" si="72"/>
        <v>0.5</v>
      </c>
      <c r="AR44" s="18">
        <f t="shared" si="64"/>
        <v>0</v>
      </c>
      <c r="AS44" s="18">
        <f t="shared" si="73"/>
        <v>0</v>
      </c>
      <c r="AT44" s="18">
        <f t="shared" si="74"/>
        <v>0</v>
      </c>
      <c r="AU44" s="18">
        <f t="shared" si="75"/>
        <v>0</v>
      </c>
      <c r="AV44" s="18">
        <f t="shared" si="76"/>
        <v>0</v>
      </c>
      <c r="AW44" s="18">
        <f t="shared" si="77"/>
        <v>0</v>
      </c>
      <c r="AX44" s="18">
        <f t="shared" si="78"/>
        <v>0</v>
      </c>
      <c r="AY44" s="18">
        <f t="shared" si="79"/>
        <v>0</v>
      </c>
      <c r="AZ44" s="23">
        <f t="shared" si="45"/>
        <v>28</v>
      </c>
      <c r="BA44" s="18">
        <f t="shared" si="46"/>
        <v>24</v>
      </c>
      <c r="BB44" s="24">
        <f t="shared" si="47"/>
        <v>28</v>
      </c>
      <c r="BC44" s="25">
        <f t="shared" si="48"/>
        <v>0.97916666666666663</v>
      </c>
      <c r="BD44" s="26">
        <f>VLOOKUP(B44,'Jan''26- Leave Bal'!$B$3:$D$83,3,0)</f>
        <v>0</v>
      </c>
      <c r="BE44" s="27">
        <f>VLOOKUP(B44,'Jan''26- Leave Bal'!$B$3:$E$83,4,0)+$BE$3</f>
        <v>0.5</v>
      </c>
      <c r="BF44" s="27">
        <f>VLOOKUP(B44,'Jan''26- Leave Bal'!$B$3:$F$83,5,0)+$BF$3</f>
        <v>2.5</v>
      </c>
      <c r="BG44" s="27">
        <f>VLOOKUP(B44,'Jan''26- Leave Bal'!$B$3:$G$83,6,0)+$BG$3</f>
        <v>13</v>
      </c>
      <c r="BH44" s="27">
        <f>VLOOKUP(B44,'Jan''26- Leave Bal'!$B$3:$H$83,7,0)</f>
        <v>15</v>
      </c>
      <c r="BI44" s="27">
        <f>VLOOKUP(B44,'Jan''26- Leave Bal'!$B$3:$I$83,8,0)+$BI$3</f>
        <v>0.75</v>
      </c>
      <c r="BJ44" s="28">
        <f t="shared" si="49"/>
        <v>0</v>
      </c>
      <c r="BK44" s="28">
        <f t="shared" si="50"/>
        <v>0.5</v>
      </c>
      <c r="BL44" s="28">
        <f t="shared" si="51"/>
        <v>0</v>
      </c>
      <c r="BM44" s="28">
        <f t="shared" si="52"/>
        <v>0</v>
      </c>
      <c r="BN44" s="28">
        <f t="shared" si="53"/>
        <v>0</v>
      </c>
      <c r="BO44" s="28">
        <f t="shared" si="54"/>
        <v>0</v>
      </c>
      <c r="BP44" s="28">
        <f t="shared" si="55"/>
        <v>0</v>
      </c>
      <c r="BQ44" s="26">
        <f t="shared" si="56"/>
        <v>0</v>
      </c>
      <c r="BR44" s="26">
        <f t="shared" si="57"/>
        <v>2.5</v>
      </c>
      <c r="BS44" s="26">
        <f t="shared" si="58"/>
        <v>13</v>
      </c>
      <c r="BT44" s="26">
        <f t="shared" si="59"/>
        <v>15</v>
      </c>
      <c r="BU44" s="26">
        <f t="shared" si="60"/>
        <v>0.75</v>
      </c>
      <c r="BW44" s="17">
        <v>0</v>
      </c>
    </row>
    <row r="45" spans="1:75" ht="12" x14ac:dyDescent="0.3">
      <c r="A45" s="18">
        <v>42</v>
      </c>
      <c r="B45" s="18" t="s">
        <v>158</v>
      </c>
      <c r="C45" s="45"/>
      <c r="D45" s="18" t="s">
        <v>134</v>
      </c>
      <c r="E45" s="19" t="s">
        <v>135</v>
      </c>
      <c r="F45" s="18" t="s">
        <v>59</v>
      </c>
      <c r="G45" s="18" t="s">
        <v>77</v>
      </c>
      <c r="H45" s="18">
        <v>8978001708</v>
      </c>
      <c r="I45" s="18" t="s">
        <v>159</v>
      </c>
      <c r="J45" s="20">
        <v>44845</v>
      </c>
      <c r="K45" s="21"/>
      <c r="L45" s="18" t="s">
        <v>18</v>
      </c>
      <c r="M45" s="22" t="s">
        <v>62</v>
      </c>
      <c r="N45" s="22" t="s">
        <v>17</v>
      </c>
      <c r="O45" s="18" t="s">
        <v>62</v>
      </c>
      <c r="P45" s="18" t="s">
        <v>62</v>
      </c>
      <c r="Q45" s="18" t="s">
        <v>62</v>
      </c>
      <c r="R45" s="18" t="s">
        <v>62</v>
      </c>
      <c r="S45" s="18" t="s">
        <v>62</v>
      </c>
      <c r="T45" s="18" t="s">
        <v>62</v>
      </c>
      <c r="U45" s="18" t="s">
        <v>62</v>
      </c>
      <c r="V45" s="23" t="s">
        <v>62</v>
      </c>
      <c r="W45" s="18" t="s">
        <v>62</v>
      </c>
      <c r="X45" s="23" t="s">
        <v>17</v>
      </c>
      <c r="Y45" s="18" t="s">
        <v>62</v>
      </c>
      <c r="Z45" s="18" t="s">
        <v>62</v>
      </c>
      <c r="AA45" s="18" t="s">
        <v>62</v>
      </c>
      <c r="AB45" s="23" t="s">
        <v>17</v>
      </c>
      <c r="AC45" s="18" t="s">
        <v>62</v>
      </c>
      <c r="AD45" s="18" t="s">
        <v>62</v>
      </c>
      <c r="AE45" s="18" t="s">
        <v>62</v>
      </c>
      <c r="AF45" s="18" t="s">
        <v>62</v>
      </c>
      <c r="AG45" s="18" t="s">
        <v>18</v>
      </c>
      <c r="AH45" s="18" t="s">
        <v>62</v>
      </c>
      <c r="AI45" s="18" t="s">
        <v>62</v>
      </c>
      <c r="AJ45" s="18" t="s">
        <v>62</v>
      </c>
      <c r="AK45" s="18" t="s">
        <v>62</v>
      </c>
      <c r="AL45" s="18" t="s">
        <v>62</v>
      </c>
      <c r="AM45" s="18" t="s">
        <v>17</v>
      </c>
      <c r="AN45" s="18">
        <f t="shared" si="33"/>
        <v>22</v>
      </c>
      <c r="AO45" s="18">
        <f t="shared" si="61"/>
        <v>4</v>
      </c>
      <c r="AP45" s="18">
        <f t="shared" si="62"/>
        <v>2</v>
      </c>
      <c r="AQ45" s="18">
        <f t="shared" si="72"/>
        <v>0</v>
      </c>
      <c r="AR45" s="18">
        <f t="shared" si="64"/>
        <v>0</v>
      </c>
      <c r="AS45" s="18">
        <f t="shared" si="73"/>
        <v>0</v>
      </c>
      <c r="AT45" s="18">
        <f t="shared" si="74"/>
        <v>0</v>
      </c>
      <c r="AU45" s="18">
        <f t="shared" si="75"/>
        <v>0</v>
      </c>
      <c r="AV45" s="18">
        <f t="shared" si="76"/>
        <v>0</v>
      </c>
      <c r="AW45" s="18">
        <f t="shared" si="77"/>
        <v>0</v>
      </c>
      <c r="AX45" s="18">
        <f t="shared" si="78"/>
        <v>0</v>
      </c>
      <c r="AY45" s="18">
        <f t="shared" si="79"/>
        <v>0</v>
      </c>
      <c r="AZ45" s="23">
        <f t="shared" si="45"/>
        <v>28</v>
      </c>
      <c r="BA45" s="18">
        <f t="shared" si="46"/>
        <v>24</v>
      </c>
      <c r="BB45" s="24">
        <f t="shared" si="47"/>
        <v>28</v>
      </c>
      <c r="BC45" s="25">
        <f t="shared" si="48"/>
        <v>0.91666666666666663</v>
      </c>
      <c r="BD45" s="26">
        <f>VLOOKUP(B45,'Jan''26- Leave Bal'!$B$3:$D$83,3,0)</f>
        <v>0</v>
      </c>
      <c r="BE45" s="27">
        <f>VLOOKUP(B45,'Jan''26- Leave Bal'!$B$3:$E$83,4,0)+$BE$3</f>
        <v>0.5</v>
      </c>
      <c r="BF45" s="27">
        <f>VLOOKUP(B45,'Jan''26- Leave Bal'!$B$3:$F$83,5,0)+$BF$3</f>
        <v>0.5</v>
      </c>
      <c r="BG45" s="27">
        <f>VLOOKUP(B45,'Jan''26- Leave Bal'!$B$3:$G$83,6,0)+$BG$3</f>
        <v>4</v>
      </c>
      <c r="BH45" s="27">
        <f>VLOOKUP(B45,'Jan''26- Leave Bal'!$B$3:$H$83,7,0)</f>
        <v>15</v>
      </c>
      <c r="BI45" s="27">
        <f>VLOOKUP(B45,'Jan''26- Leave Bal'!$B$3:$I$83,8,0)+$BI$3</f>
        <v>0.75</v>
      </c>
      <c r="BJ45" s="28">
        <f t="shared" si="49"/>
        <v>0</v>
      </c>
      <c r="BK45" s="28">
        <f t="shared" si="50"/>
        <v>0.5</v>
      </c>
      <c r="BL45" s="28">
        <f t="shared" si="51"/>
        <v>0.5</v>
      </c>
      <c r="BM45" s="28">
        <f t="shared" si="52"/>
        <v>1</v>
      </c>
      <c r="BN45" s="28">
        <f t="shared" si="53"/>
        <v>0</v>
      </c>
      <c r="BO45" s="28">
        <f t="shared" si="54"/>
        <v>0</v>
      </c>
      <c r="BP45" s="28">
        <f t="shared" si="55"/>
        <v>0</v>
      </c>
      <c r="BQ45" s="26">
        <f t="shared" si="56"/>
        <v>0</v>
      </c>
      <c r="BR45" s="26">
        <f t="shared" si="57"/>
        <v>0</v>
      </c>
      <c r="BS45" s="26">
        <f t="shared" si="58"/>
        <v>3</v>
      </c>
      <c r="BT45" s="26">
        <f t="shared" si="59"/>
        <v>15</v>
      </c>
      <c r="BU45" s="26">
        <f t="shared" si="60"/>
        <v>0.75</v>
      </c>
      <c r="BV45" s="17" t="s">
        <v>253</v>
      </c>
      <c r="BW45" s="17" t="s">
        <v>254</v>
      </c>
    </row>
    <row r="46" spans="1:75" ht="12" x14ac:dyDescent="0.3">
      <c r="A46" s="18">
        <v>43</v>
      </c>
      <c r="B46" s="18" t="s">
        <v>160</v>
      </c>
      <c r="C46" s="47"/>
      <c r="D46" s="18" t="s">
        <v>134</v>
      </c>
      <c r="E46" s="19" t="s">
        <v>135</v>
      </c>
      <c r="F46" s="18" t="s">
        <v>59</v>
      </c>
      <c r="G46" s="18" t="s">
        <v>77</v>
      </c>
      <c r="H46" s="38">
        <v>7801044213</v>
      </c>
      <c r="I46" s="18" t="s">
        <v>161</v>
      </c>
      <c r="J46" s="20">
        <v>44845</v>
      </c>
      <c r="K46" s="21"/>
      <c r="L46" s="18" t="s">
        <v>62</v>
      </c>
      <c r="M46" s="22" t="s">
        <v>62</v>
      </c>
      <c r="N46" s="18" t="s">
        <v>62</v>
      </c>
      <c r="O46" s="18" t="s">
        <v>62</v>
      </c>
      <c r="P46" s="22" t="s">
        <v>17</v>
      </c>
      <c r="Q46" s="18" t="s">
        <v>62</v>
      </c>
      <c r="R46" s="18" t="s">
        <v>62</v>
      </c>
      <c r="S46" s="18" t="s">
        <v>62</v>
      </c>
      <c r="T46" s="18" t="s">
        <v>62</v>
      </c>
      <c r="U46" s="18" t="s">
        <v>62</v>
      </c>
      <c r="V46" s="23" t="s">
        <v>62</v>
      </c>
      <c r="W46" s="23" t="s">
        <v>17</v>
      </c>
      <c r="X46" s="18" t="s">
        <v>18</v>
      </c>
      <c r="Y46" s="18" t="s">
        <v>62</v>
      </c>
      <c r="Z46" s="18" t="s">
        <v>62</v>
      </c>
      <c r="AA46" s="18" t="s">
        <v>17</v>
      </c>
      <c r="AB46" s="18" t="s">
        <v>62</v>
      </c>
      <c r="AC46" s="18" t="s">
        <v>62</v>
      </c>
      <c r="AD46" s="18" t="s">
        <v>62</v>
      </c>
      <c r="AE46" s="18" t="s">
        <v>18</v>
      </c>
      <c r="AF46" s="18" t="s">
        <v>18</v>
      </c>
      <c r="AG46" s="18" t="s">
        <v>18</v>
      </c>
      <c r="AH46" s="18" t="s">
        <v>18</v>
      </c>
      <c r="AI46" s="64" t="s">
        <v>17</v>
      </c>
      <c r="AJ46" s="18" t="s">
        <v>18</v>
      </c>
      <c r="AK46" s="18" t="s">
        <v>19</v>
      </c>
      <c r="AL46" s="18" t="s">
        <v>62</v>
      </c>
      <c r="AM46" s="18" t="s">
        <v>62</v>
      </c>
      <c r="AN46" s="18">
        <f t="shared" ref="AN46:AN69" si="80">COUNTIF(L46:AM46,"P")+COUNTIF(L46:AM46,"HFL")/2</f>
        <v>17.5</v>
      </c>
      <c r="AO46" s="18">
        <f t="shared" si="61"/>
        <v>4</v>
      </c>
      <c r="AP46" s="18">
        <f t="shared" si="62"/>
        <v>6</v>
      </c>
      <c r="AQ46" s="18">
        <f t="shared" si="72"/>
        <v>0.5</v>
      </c>
      <c r="AR46" s="18">
        <f t="shared" si="64"/>
        <v>0</v>
      </c>
      <c r="AS46" s="18">
        <f t="shared" si="73"/>
        <v>0</v>
      </c>
      <c r="AT46" s="18">
        <f t="shared" si="74"/>
        <v>0</v>
      </c>
      <c r="AU46" s="18">
        <f t="shared" si="75"/>
        <v>0</v>
      </c>
      <c r="AV46" s="18">
        <f t="shared" si="76"/>
        <v>0</v>
      </c>
      <c r="AW46" s="18">
        <f t="shared" si="77"/>
        <v>0</v>
      </c>
      <c r="AX46" s="18">
        <f t="shared" si="78"/>
        <v>0</v>
      </c>
      <c r="AY46" s="18">
        <f t="shared" si="79"/>
        <v>0</v>
      </c>
      <c r="AZ46" s="23">
        <f t="shared" ref="AZ46:AZ69" si="81">SUM(AN46:AY46)</f>
        <v>28</v>
      </c>
      <c r="BA46" s="18">
        <f t="shared" ref="BA46:BA69" si="82">SUM(AP46:AQ46,AS46:AY46,AN46)</f>
        <v>24</v>
      </c>
      <c r="BB46" s="24">
        <f t="shared" ref="BB46:BB69" si="83">AZ46-(AU46+BO46)</f>
        <v>25.5</v>
      </c>
      <c r="BC46" s="25">
        <f t="shared" ref="BC46:BC69" si="84">AN46/BA46</f>
        <v>0.72916666666666663</v>
      </c>
      <c r="BD46" s="26">
        <f>VLOOKUP(B46,'Jan''26- Leave Bal'!$B$3:$D$83,3,0)</f>
        <v>0</v>
      </c>
      <c r="BE46" s="27">
        <f>VLOOKUP(B46,'Jan''26- Leave Bal'!$B$3:$E$83,4,0)+$BE$3</f>
        <v>0.5</v>
      </c>
      <c r="BF46" s="27">
        <f>VLOOKUP(B46,'Jan''26- Leave Bal'!$B$3:$F$83,5,0)+$BF$3</f>
        <v>0.5</v>
      </c>
      <c r="BG46" s="27">
        <f>VLOOKUP(B46,'Jan''26- Leave Bal'!$B$3:$G$83,6,0)+$BG$3</f>
        <v>3</v>
      </c>
      <c r="BH46" s="27">
        <f>VLOOKUP(B46,'Jan''26- Leave Bal'!$B$3:$H$83,7,0)</f>
        <v>15</v>
      </c>
      <c r="BI46" s="27">
        <f>VLOOKUP(B46,'Jan''26- Leave Bal'!$B$3:$I$83,8,0)+$BI$3</f>
        <v>0.75</v>
      </c>
      <c r="BJ46" s="28">
        <f t="shared" ref="BJ46:BJ69" si="85">IF((AP46+AQ46)&lt;=BD46, (AP46+AQ46),BD46)</f>
        <v>0</v>
      </c>
      <c r="BK46" s="28">
        <f t="shared" ref="BK46:BK69" si="86">IF(((AP46+AQ46)-BJ46)&gt;BE46,BE46,(AP46+AQ46)-BJ46)</f>
        <v>0.5</v>
      </c>
      <c r="BL46" s="28">
        <f t="shared" ref="BL46:BL69" si="87">IF((AP46+AQ46-BJ46-BK46)&gt;=BF46,BF46,(AP46+AQ46-BJ46-BK46))</f>
        <v>0.5</v>
      </c>
      <c r="BM46" s="28">
        <f t="shared" ref="BM46:BM69" si="88">IF((AP46+AQ46-BJ46-BK46-BL46)&gt;=BG46,BG46,(AP46+AQ46-BJ46-BK46-BL46))</f>
        <v>3</v>
      </c>
      <c r="BN46" s="28">
        <f t="shared" ref="BN46:BN69" si="89">AS46</f>
        <v>0</v>
      </c>
      <c r="BO46" s="28">
        <f t="shared" ref="BO46:BO69" si="90">AP46+AQ46-BJ46-BK46-BL46-BM46</f>
        <v>2.5</v>
      </c>
      <c r="BP46" s="28">
        <f t="shared" ref="BP46:BP69" si="91">BD46-BJ46</f>
        <v>0</v>
      </c>
      <c r="BQ46" s="26">
        <f t="shared" ref="BQ46:BQ69" si="92">BE46-BK46</f>
        <v>0</v>
      </c>
      <c r="BR46" s="26">
        <f t="shared" ref="BR46:BR69" si="93">BF46-BL46</f>
        <v>0</v>
      </c>
      <c r="BS46" s="26">
        <f t="shared" ref="BS46:BS69" si="94">BG46-BM46</f>
        <v>0</v>
      </c>
      <c r="BT46" s="26">
        <f t="shared" ref="BT46:BT69" si="95">BH46-BN46</f>
        <v>15</v>
      </c>
      <c r="BU46" s="26">
        <f t="shared" ref="BU46:BU69" si="96">BI46</f>
        <v>0.75</v>
      </c>
      <c r="BV46" s="17" t="s">
        <v>253</v>
      </c>
      <c r="BW46" s="17" t="s">
        <v>254</v>
      </c>
    </row>
    <row r="47" spans="1:75" ht="12" x14ac:dyDescent="0.3">
      <c r="A47" s="18">
        <v>44</v>
      </c>
      <c r="B47" s="18" t="s">
        <v>162</v>
      </c>
      <c r="C47" s="45"/>
      <c r="D47" s="18" t="s">
        <v>134</v>
      </c>
      <c r="E47" s="19" t="s">
        <v>135</v>
      </c>
      <c r="F47" s="18" t="s">
        <v>59</v>
      </c>
      <c r="G47" s="18" t="s">
        <v>77</v>
      </c>
      <c r="H47" s="18">
        <v>7396558650</v>
      </c>
      <c r="I47" s="18" t="s">
        <v>163</v>
      </c>
      <c r="J47" s="20">
        <v>45217</v>
      </c>
      <c r="K47" s="21"/>
      <c r="L47" s="18" t="s">
        <v>62</v>
      </c>
      <c r="M47" s="22" t="s">
        <v>17</v>
      </c>
      <c r="N47" s="18" t="s">
        <v>62</v>
      </c>
      <c r="O47" s="18" t="s">
        <v>62</v>
      </c>
      <c r="P47" s="18" t="s">
        <v>62</v>
      </c>
      <c r="Q47" s="18" t="s">
        <v>62</v>
      </c>
      <c r="R47" s="18" t="s">
        <v>62</v>
      </c>
      <c r="S47" s="18" t="s">
        <v>62</v>
      </c>
      <c r="T47" s="18" t="s">
        <v>62</v>
      </c>
      <c r="U47" s="18" t="s">
        <v>17</v>
      </c>
      <c r="V47" s="23" t="s">
        <v>62</v>
      </c>
      <c r="W47" s="18" t="s">
        <v>62</v>
      </c>
      <c r="X47" s="18" t="s">
        <v>18</v>
      </c>
      <c r="Y47" s="18" t="s">
        <v>18</v>
      </c>
      <c r="Z47" s="18" t="s">
        <v>18</v>
      </c>
      <c r="AA47" s="18" t="s">
        <v>62</v>
      </c>
      <c r="AB47" s="18" t="s">
        <v>17</v>
      </c>
      <c r="AC47" s="18" t="s">
        <v>18</v>
      </c>
      <c r="AD47" s="18" t="s">
        <v>62</v>
      </c>
      <c r="AE47" s="18" t="s">
        <v>62</v>
      </c>
      <c r="AF47" s="18" t="s">
        <v>62</v>
      </c>
      <c r="AG47" s="18" t="s">
        <v>62</v>
      </c>
      <c r="AH47" s="18" t="s">
        <v>62</v>
      </c>
      <c r="AI47" s="18" t="s">
        <v>62</v>
      </c>
      <c r="AJ47" s="18" t="s">
        <v>62</v>
      </c>
      <c r="AK47" s="18" t="s">
        <v>62</v>
      </c>
      <c r="AL47" s="18" t="s">
        <v>17</v>
      </c>
      <c r="AM47" s="18" t="s">
        <v>62</v>
      </c>
      <c r="AN47" s="18">
        <f t="shared" si="80"/>
        <v>20</v>
      </c>
      <c r="AO47" s="18">
        <f t="shared" si="61"/>
        <v>4</v>
      </c>
      <c r="AP47" s="18">
        <f t="shared" si="62"/>
        <v>4</v>
      </c>
      <c r="AQ47" s="18">
        <f t="shared" si="72"/>
        <v>0</v>
      </c>
      <c r="AR47" s="18">
        <f t="shared" si="64"/>
        <v>0</v>
      </c>
      <c r="AS47" s="18">
        <f t="shared" si="73"/>
        <v>0</v>
      </c>
      <c r="AT47" s="18">
        <f t="shared" si="74"/>
        <v>0</v>
      </c>
      <c r="AU47" s="18">
        <f t="shared" si="75"/>
        <v>0</v>
      </c>
      <c r="AV47" s="18">
        <f t="shared" si="76"/>
        <v>0</v>
      </c>
      <c r="AW47" s="18">
        <f t="shared" si="77"/>
        <v>0</v>
      </c>
      <c r="AX47" s="18">
        <f t="shared" si="78"/>
        <v>0</v>
      </c>
      <c r="AY47" s="18">
        <f t="shared" si="79"/>
        <v>0</v>
      </c>
      <c r="AZ47" s="23">
        <f t="shared" si="81"/>
        <v>28</v>
      </c>
      <c r="BA47" s="18">
        <f t="shared" si="82"/>
        <v>24</v>
      </c>
      <c r="BB47" s="24">
        <f t="shared" si="83"/>
        <v>28</v>
      </c>
      <c r="BC47" s="25">
        <f t="shared" si="84"/>
        <v>0.83333333333333337</v>
      </c>
      <c r="BD47" s="26">
        <f>VLOOKUP(B47,'Jan''26- Leave Bal'!$B$3:$D$83,3,0)</f>
        <v>0</v>
      </c>
      <c r="BE47" s="27">
        <f>VLOOKUP(B47,'Jan''26- Leave Bal'!$B$3:$E$83,4,0)+$BE$3</f>
        <v>0.5</v>
      </c>
      <c r="BF47" s="27">
        <f>VLOOKUP(B47,'Jan''26- Leave Bal'!$B$3:$F$83,5,0)+$BF$3</f>
        <v>0.5</v>
      </c>
      <c r="BG47" s="27">
        <f>VLOOKUP(B47,'Jan''26- Leave Bal'!$B$3:$G$83,6,0)+$BG$3</f>
        <v>6</v>
      </c>
      <c r="BH47" s="27">
        <f>VLOOKUP(B47,'Jan''26- Leave Bal'!$B$3:$H$83,7,0)</f>
        <v>15</v>
      </c>
      <c r="BI47" s="27">
        <f>VLOOKUP(B47,'Jan''26- Leave Bal'!$B$3:$I$83,8,0)+$BI$3</f>
        <v>0.75</v>
      </c>
      <c r="BJ47" s="28">
        <f t="shared" si="85"/>
        <v>0</v>
      </c>
      <c r="BK47" s="28">
        <f t="shared" si="86"/>
        <v>0.5</v>
      </c>
      <c r="BL47" s="28">
        <f t="shared" si="87"/>
        <v>0.5</v>
      </c>
      <c r="BM47" s="28">
        <f t="shared" si="88"/>
        <v>3</v>
      </c>
      <c r="BN47" s="28">
        <f t="shared" si="89"/>
        <v>0</v>
      </c>
      <c r="BO47" s="28">
        <f t="shared" si="90"/>
        <v>0</v>
      </c>
      <c r="BP47" s="28">
        <f t="shared" si="91"/>
        <v>0</v>
      </c>
      <c r="BQ47" s="26">
        <f t="shared" si="92"/>
        <v>0</v>
      </c>
      <c r="BR47" s="26">
        <f t="shared" si="93"/>
        <v>0</v>
      </c>
      <c r="BS47" s="26">
        <f t="shared" si="94"/>
        <v>3</v>
      </c>
      <c r="BT47" s="26">
        <f t="shared" si="95"/>
        <v>15</v>
      </c>
      <c r="BU47" s="26">
        <f t="shared" si="96"/>
        <v>0.75</v>
      </c>
      <c r="BW47" s="17">
        <v>0</v>
      </c>
    </row>
    <row r="48" spans="1:75" ht="12" x14ac:dyDescent="0.3">
      <c r="A48" s="18">
        <v>45</v>
      </c>
      <c r="B48" s="18" t="s">
        <v>164</v>
      </c>
      <c r="C48" s="45"/>
      <c r="D48" s="18" t="s">
        <v>134</v>
      </c>
      <c r="E48" s="19" t="s">
        <v>135</v>
      </c>
      <c r="F48" s="18" t="s">
        <v>59</v>
      </c>
      <c r="G48" s="18" t="s">
        <v>60</v>
      </c>
      <c r="H48" s="18">
        <v>9390755670</v>
      </c>
      <c r="I48" s="18" t="s">
        <v>165</v>
      </c>
      <c r="J48" s="20">
        <v>44426</v>
      </c>
      <c r="K48" s="20"/>
      <c r="L48" s="18" t="s">
        <v>62</v>
      </c>
      <c r="M48" s="18" t="s">
        <v>62</v>
      </c>
      <c r="N48" s="18" t="s">
        <v>62</v>
      </c>
      <c r="O48" s="18" t="s">
        <v>62</v>
      </c>
      <c r="P48" s="18" t="s">
        <v>62</v>
      </c>
      <c r="Q48" s="18" t="s">
        <v>62</v>
      </c>
      <c r="R48" s="22" t="s">
        <v>62</v>
      </c>
      <c r="S48" s="18" t="s">
        <v>17</v>
      </c>
      <c r="T48" s="18" t="s">
        <v>62</v>
      </c>
      <c r="U48" s="18" t="s">
        <v>62</v>
      </c>
      <c r="V48" s="23" t="s">
        <v>62</v>
      </c>
      <c r="W48" s="18" t="s">
        <v>62</v>
      </c>
      <c r="X48" s="23" t="s">
        <v>17</v>
      </c>
      <c r="Y48" s="18" t="s">
        <v>62</v>
      </c>
      <c r="Z48" s="18" t="s">
        <v>62</v>
      </c>
      <c r="AA48" s="18" t="s">
        <v>17</v>
      </c>
      <c r="AB48" s="18" t="s">
        <v>62</v>
      </c>
      <c r="AC48" s="18" t="s">
        <v>62</v>
      </c>
      <c r="AD48" s="18" t="s">
        <v>62</v>
      </c>
      <c r="AE48" s="18" t="s">
        <v>62</v>
      </c>
      <c r="AF48" s="18" t="s">
        <v>62</v>
      </c>
      <c r="AG48" s="18" t="s">
        <v>62</v>
      </c>
      <c r="AH48" s="18" t="s">
        <v>62</v>
      </c>
      <c r="AI48" s="18" t="s">
        <v>62</v>
      </c>
      <c r="AJ48" s="18" t="s">
        <v>62</v>
      </c>
      <c r="AK48" s="18" t="s">
        <v>62</v>
      </c>
      <c r="AL48" s="18" t="s">
        <v>62</v>
      </c>
      <c r="AM48" s="18" t="s">
        <v>17</v>
      </c>
      <c r="AN48" s="18">
        <f t="shared" si="80"/>
        <v>24</v>
      </c>
      <c r="AO48" s="18">
        <f t="shared" si="61"/>
        <v>4</v>
      </c>
      <c r="AP48" s="18">
        <f t="shared" si="62"/>
        <v>0</v>
      </c>
      <c r="AQ48" s="18">
        <f t="shared" si="72"/>
        <v>0</v>
      </c>
      <c r="AR48" s="18">
        <f t="shared" si="64"/>
        <v>0</v>
      </c>
      <c r="AS48" s="18">
        <f t="shared" si="73"/>
        <v>0</v>
      </c>
      <c r="AT48" s="18">
        <f t="shared" si="74"/>
        <v>0</v>
      </c>
      <c r="AU48" s="18">
        <f t="shared" si="75"/>
        <v>0</v>
      </c>
      <c r="AV48" s="18">
        <f t="shared" si="76"/>
        <v>0</v>
      </c>
      <c r="AW48" s="18">
        <f t="shared" si="77"/>
        <v>0</v>
      </c>
      <c r="AX48" s="18">
        <f t="shared" si="78"/>
        <v>0</v>
      </c>
      <c r="AY48" s="18">
        <f t="shared" si="79"/>
        <v>0</v>
      </c>
      <c r="AZ48" s="23">
        <f t="shared" si="81"/>
        <v>28</v>
      </c>
      <c r="BA48" s="18">
        <f t="shared" si="82"/>
        <v>24</v>
      </c>
      <c r="BB48" s="24">
        <f t="shared" si="83"/>
        <v>28</v>
      </c>
      <c r="BC48" s="39">
        <f t="shared" si="84"/>
        <v>1</v>
      </c>
      <c r="BD48" s="26">
        <f>VLOOKUP(B48,'Jan''26- Leave Bal'!$B$3:$D$83,3,0)</f>
        <v>0</v>
      </c>
      <c r="BE48" s="27">
        <f>VLOOKUP(B48,'Jan''26- Leave Bal'!$B$3:$E$83,4,0)+$BE$3</f>
        <v>1</v>
      </c>
      <c r="BF48" s="27">
        <f>VLOOKUP(B48,'Jan''26- Leave Bal'!$B$3:$F$83,5,0)+$BF$3</f>
        <v>1</v>
      </c>
      <c r="BG48" s="27">
        <f>VLOOKUP(B48,'Jan''26- Leave Bal'!$B$3:$G$83,6,0)+$BG$3</f>
        <v>11.5</v>
      </c>
      <c r="BH48" s="27">
        <f>VLOOKUP(B48,'Jan''26- Leave Bal'!$B$3:$H$83,7,0)</f>
        <v>15</v>
      </c>
      <c r="BI48" s="27">
        <f>VLOOKUP(B48,'Jan''26- Leave Bal'!$B$3:$I$83,8,0)+$BI$3</f>
        <v>0.75</v>
      </c>
      <c r="BJ48" s="28">
        <f t="shared" si="85"/>
        <v>0</v>
      </c>
      <c r="BK48" s="28">
        <f t="shared" si="86"/>
        <v>0</v>
      </c>
      <c r="BL48" s="28">
        <f t="shared" si="87"/>
        <v>0</v>
      </c>
      <c r="BM48" s="28">
        <f t="shared" si="88"/>
        <v>0</v>
      </c>
      <c r="BN48" s="28">
        <f t="shared" si="89"/>
        <v>0</v>
      </c>
      <c r="BO48" s="28">
        <f t="shared" si="90"/>
        <v>0</v>
      </c>
      <c r="BP48" s="28">
        <f t="shared" si="91"/>
        <v>0</v>
      </c>
      <c r="BQ48" s="26">
        <f t="shared" si="92"/>
        <v>1</v>
      </c>
      <c r="BR48" s="26">
        <f t="shared" si="93"/>
        <v>1</v>
      </c>
      <c r="BS48" s="26">
        <f t="shared" si="94"/>
        <v>11.5</v>
      </c>
      <c r="BT48" s="26">
        <f t="shared" si="95"/>
        <v>15</v>
      </c>
      <c r="BU48" s="26">
        <f t="shared" si="96"/>
        <v>0.75</v>
      </c>
      <c r="BV48" s="17" t="s">
        <v>253</v>
      </c>
      <c r="BW48" s="17" t="s">
        <v>254</v>
      </c>
    </row>
    <row r="49" spans="1:75" ht="12" x14ac:dyDescent="0.3">
      <c r="A49" s="18">
        <v>46</v>
      </c>
      <c r="B49" s="18" t="s">
        <v>166</v>
      </c>
      <c r="C49" s="45"/>
      <c r="D49" s="18" t="s">
        <v>134</v>
      </c>
      <c r="E49" s="19" t="s">
        <v>135</v>
      </c>
      <c r="F49" s="18" t="s">
        <v>59</v>
      </c>
      <c r="G49" s="18" t="s">
        <v>60</v>
      </c>
      <c r="H49" s="18" t="s">
        <v>167</v>
      </c>
      <c r="I49" s="18" t="s">
        <v>168</v>
      </c>
      <c r="J49" s="20">
        <v>44426</v>
      </c>
      <c r="K49" s="21"/>
      <c r="L49" s="22" t="s">
        <v>17</v>
      </c>
      <c r="M49" s="18" t="s">
        <v>62</v>
      </c>
      <c r="N49" s="18" t="s">
        <v>62</v>
      </c>
      <c r="O49" s="18" t="s">
        <v>62</v>
      </c>
      <c r="P49" s="18" t="s">
        <v>62</v>
      </c>
      <c r="Q49" s="18" t="s">
        <v>62</v>
      </c>
      <c r="R49" s="18" t="s">
        <v>62</v>
      </c>
      <c r="S49" s="18" t="s">
        <v>17</v>
      </c>
      <c r="T49" s="18" t="s">
        <v>62</v>
      </c>
      <c r="U49" s="18" t="s">
        <v>62</v>
      </c>
      <c r="V49" s="23" t="s">
        <v>62</v>
      </c>
      <c r="W49" s="18" t="s">
        <v>62</v>
      </c>
      <c r="X49" s="23" t="s">
        <v>17</v>
      </c>
      <c r="Y49" s="18" t="s">
        <v>62</v>
      </c>
      <c r="Z49" s="18" t="s">
        <v>62</v>
      </c>
      <c r="AA49" s="18" t="s">
        <v>18</v>
      </c>
      <c r="AB49" s="18" t="s">
        <v>62</v>
      </c>
      <c r="AC49" s="23" t="s">
        <v>62</v>
      </c>
      <c r="AD49" s="18" t="s">
        <v>62</v>
      </c>
      <c r="AE49" s="18" t="s">
        <v>17</v>
      </c>
      <c r="AF49" s="18" t="s">
        <v>62</v>
      </c>
      <c r="AG49" s="18" t="s">
        <v>62</v>
      </c>
      <c r="AH49" s="18" t="s">
        <v>62</v>
      </c>
      <c r="AI49" s="18" t="s">
        <v>62</v>
      </c>
      <c r="AJ49" s="18" t="s">
        <v>62</v>
      </c>
      <c r="AK49" s="18" t="s">
        <v>17</v>
      </c>
      <c r="AL49" s="18" t="s">
        <v>62</v>
      </c>
      <c r="AM49" s="18" t="s">
        <v>62</v>
      </c>
      <c r="AN49" s="18">
        <f t="shared" si="80"/>
        <v>22</v>
      </c>
      <c r="AO49" s="18">
        <f t="shared" si="61"/>
        <v>5</v>
      </c>
      <c r="AP49" s="18">
        <f t="shared" si="62"/>
        <v>1</v>
      </c>
      <c r="AQ49" s="18">
        <f t="shared" si="72"/>
        <v>0</v>
      </c>
      <c r="AR49" s="18">
        <f t="shared" si="64"/>
        <v>0</v>
      </c>
      <c r="AS49" s="18">
        <f t="shared" si="73"/>
        <v>0</v>
      </c>
      <c r="AT49" s="18">
        <f t="shared" si="74"/>
        <v>0</v>
      </c>
      <c r="AU49" s="18">
        <f t="shared" si="75"/>
        <v>0</v>
      </c>
      <c r="AV49" s="18">
        <f t="shared" si="76"/>
        <v>0</v>
      </c>
      <c r="AW49" s="18">
        <f t="shared" si="77"/>
        <v>0</v>
      </c>
      <c r="AX49" s="18">
        <f t="shared" si="78"/>
        <v>0</v>
      </c>
      <c r="AY49" s="18">
        <f t="shared" si="79"/>
        <v>0</v>
      </c>
      <c r="AZ49" s="23">
        <f t="shared" si="81"/>
        <v>28</v>
      </c>
      <c r="BA49" s="18">
        <f t="shared" si="82"/>
        <v>23</v>
      </c>
      <c r="BB49" s="24">
        <f t="shared" si="83"/>
        <v>28</v>
      </c>
      <c r="BC49" s="25">
        <f t="shared" si="84"/>
        <v>0.95652173913043481</v>
      </c>
      <c r="BD49" s="26">
        <f>VLOOKUP(B49,'Jan''26- Leave Bal'!$B$3:$D$83,3,0)</f>
        <v>0</v>
      </c>
      <c r="BE49" s="27">
        <f>VLOOKUP(B49,'Jan''26- Leave Bal'!$B$3:$E$83,4,0)+$BE$3</f>
        <v>0.5</v>
      </c>
      <c r="BF49" s="27">
        <f>VLOOKUP(B49,'Jan''26- Leave Bal'!$B$3:$F$83,5,0)+$BF$3</f>
        <v>1</v>
      </c>
      <c r="BG49" s="27">
        <f>VLOOKUP(B49,'Jan''26- Leave Bal'!$B$3:$G$83,6,0)+$BG$3</f>
        <v>11.5</v>
      </c>
      <c r="BH49" s="27">
        <f>VLOOKUP(B49,'Jan''26- Leave Bal'!$B$3:$H$83,7,0)</f>
        <v>15</v>
      </c>
      <c r="BI49" s="27">
        <f>VLOOKUP(B49,'Jan''26- Leave Bal'!$B$3:$I$83,8,0)+$BI$3</f>
        <v>0.75</v>
      </c>
      <c r="BJ49" s="28">
        <f t="shared" si="85"/>
        <v>0</v>
      </c>
      <c r="BK49" s="28">
        <f t="shared" si="86"/>
        <v>0.5</v>
      </c>
      <c r="BL49" s="28">
        <f t="shared" si="87"/>
        <v>0.5</v>
      </c>
      <c r="BM49" s="28">
        <f t="shared" si="88"/>
        <v>0</v>
      </c>
      <c r="BN49" s="28">
        <f t="shared" si="89"/>
        <v>0</v>
      </c>
      <c r="BO49" s="28">
        <f t="shared" si="90"/>
        <v>0</v>
      </c>
      <c r="BP49" s="28">
        <f t="shared" si="91"/>
        <v>0</v>
      </c>
      <c r="BQ49" s="26">
        <f t="shared" si="92"/>
        <v>0</v>
      </c>
      <c r="BR49" s="26">
        <f t="shared" si="93"/>
        <v>0.5</v>
      </c>
      <c r="BS49" s="26">
        <f t="shared" si="94"/>
        <v>11.5</v>
      </c>
      <c r="BT49" s="26">
        <f t="shared" si="95"/>
        <v>15</v>
      </c>
      <c r="BU49" s="26">
        <f t="shared" si="96"/>
        <v>0.75</v>
      </c>
      <c r="BV49" s="17" t="s">
        <v>253</v>
      </c>
      <c r="BW49" s="17">
        <v>0</v>
      </c>
    </row>
    <row r="50" spans="1:75" ht="12" x14ac:dyDescent="0.3">
      <c r="A50" s="18">
        <v>47</v>
      </c>
      <c r="B50" s="18" t="s">
        <v>169</v>
      </c>
      <c r="C50" s="45"/>
      <c r="D50" s="18" t="s">
        <v>134</v>
      </c>
      <c r="E50" s="19" t="s">
        <v>135</v>
      </c>
      <c r="F50" s="18" t="s">
        <v>59</v>
      </c>
      <c r="G50" s="18" t="s">
        <v>60</v>
      </c>
      <c r="H50" s="18">
        <v>9381479466</v>
      </c>
      <c r="I50" s="18" t="s">
        <v>170</v>
      </c>
      <c r="J50" s="20">
        <v>44845</v>
      </c>
      <c r="K50" s="21"/>
      <c r="L50" s="18" t="s">
        <v>62</v>
      </c>
      <c r="M50" s="22" t="s">
        <v>62</v>
      </c>
      <c r="N50" s="18" t="s">
        <v>62</v>
      </c>
      <c r="O50" s="18" t="s">
        <v>62</v>
      </c>
      <c r="P50" s="18" t="s">
        <v>62</v>
      </c>
      <c r="Q50" s="18" t="s">
        <v>62</v>
      </c>
      <c r="R50" s="22" t="s">
        <v>17</v>
      </c>
      <c r="S50" s="18" t="s">
        <v>18</v>
      </c>
      <c r="T50" s="18" t="s">
        <v>62</v>
      </c>
      <c r="U50" s="18" t="s">
        <v>62</v>
      </c>
      <c r="V50" s="23" t="s">
        <v>17</v>
      </c>
      <c r="W50" s="18" t="s">
        <v>62</v>
      </c>
      <c r="X50" s="18" t="s">
        <v>62</v>
      </c>
      <c r="Y50" s="18" t="s">
        <v>62</v>
      </c>
      <c r="Z50" s="18" t="s">
        <v>62</v>
      </c>
      <c r="AA50" s="18" t="s">
        <v>62</v>
      </c>
      <c r="AB50" s="18" t="s">
        <v>62</v>
      </c>
      <c r="AC50" s="18" t="s">
        <v>62</v>
      </c>
      <c r="AD50" s="18" t="s">
        <v>18</v>
      </c>
      <c r="AE50" s="18" t="s">
        <v>17</v>
      </c>
      <c r="AF50" s="18" t="s">
        <v>62</v>
      </c>
      <c r="AG50" s="18" t="s">
        <v>62</v>
      </c>
      <c r="AH50" s="18" t="s">
        <v>62</v>
      </c>
      <c r="AI50" s="18" t="s">
        <v>18</v>
      </c>
      <c r="AJ50" s="18" t="s">
        <v>62</v>
      </c>
      <c r="AK50" s="18" t="s">
        <v>62</v>
      </c>
      <c r="AL50" s="18" t="s">
        <v>17</v>
      </c>
      <c r="AM50" s="18" t="s">
        <v>62</v>
      </c>
      <c r="AN50" s="18">
        <f t="shared" si="80"/>
        <v>21</v>
      </c>
      <c r="AO50" s="18">
        <f t="shared" si="61"/>
        <v>4</v>
      </c>
      <c r="AP50" s="18">
        <f t="shared" si="62"/>
        <v>3</v>
      </c>
      <c r="AQ50" s="18">
        <f t="shared" si="72"/>
        <v>0</v>
      </c>
      <c r="AR50" s="18">
        <f t="shared" si="64"/>
        <v>0</v>
      </c>
      <c r="AS50" s="18">
        <f t="shared" si="73"/>
        <v>0</v>
      </c>
      <c r="AT50" s="18">
        <f t="shared" si="74"/>
        <v>0</v>
      </c>
      <c r="AU50" s="18">
        <f t="shared" si="75"/>
        <v>0</v>
      </c>
      <c r="AV50" s="18">
        <f t="shared" si="76"/>
        <v>0</v>
      </c>
      <c r="AW50" s="18">
        <f t="shared" si="77"/>
        <v>0</v>
      </c>
      <c r="AX50" s="18">
        <f t="shared" si="78"/>
        <v>0</v>
      </c>
      <c r="AY50" s="18">
        <f t="shared" si="79"/>
        <v>0</v>
      </c>
      <c r="AZ50" s="23">
        <f t="shared" si="81"/>
        <v>28</v>
      </c>
      <c r="BA50" s="18">
        <f t="shared" si="82"/>
        <v>24</v>
      </c>
      <c r="BB50" s="24">
        <f t="shared" si="83"/>
        <v>28</v>
      </c>
      <c r="BC50" s="25">
        <f t="shared" si="84"/>
        <v>0.875</v>
      </c>
      <c r="BD50" s="26">
        <f>VLOOKUP(B50,'Jan''26- Leave Bal'!$B$3:$D$83,3,0)</f>
        <v>0</v>
      </c>
      <c r="BE50" s="27">
        <f>VLOOKUP(B50,'Jan''26- Leave Bal'!$B$3:$E$83,4,0)+$BE$3</f>
        <v>0.5</v>
      </c>
      <c r="BF50" s="27">
        <f>VLOOKUP(B50,'Jan''26- Leave Bal'!$B$3:$F$83,5,0)+$BF$3</f>
        <v>0.5</v>
      </c>
      <c r="BG50" s="27">
        <f>VLOOKUP(B50,'Jan''26- Leave Bal'!$B$3:$G$83,6,0)+$BG$3</f>
        <v>9.5</v>
      </c>
      <c r="BH50" s="27">
        <f>VLOOKUP(B50,'Jan''26- Leave Bal'!$B$3:$H$83,7,0)</f>
        <v>15</v>
      </c>
      <c r="BI50" s="27">
        <f>VLOOKUP(B50,'Jan''26- Leave Bal'!$B$3:$I$83,8,0)+$BI$3</f>
        <v>0.75</v>
      </c>
      <c r="BJ50" s="28">
        <f t="shared" si="85"/>
        <v>0</v>
      </c>
      <c r="BK50" s="28">
        <f t="shared" si="86"/>
        <v>0.5</v>
      </c>
      <c r="BL50" s="28">
        <f t="shared" si="87"/>
        <v>0.5</v>
      </c>
      <c r="BM50" s="28">
        <f t="shared" si="88"/>
        <v>2</v>
      </c>
      <c r="BN50" s="28">
        <f t="shared" si="89"/>
        <v>0</v>
      </c>
      <c r="BO50" s="28">
        <f t="shared" si="90"/>
        <v>0</v>
      </c>
      <c r="BP50" s="28">
        <f t="shared" si="91"/>
        <v>0</v>
      </c>
      <c r="BQ50" s="26">
        <f t="shared" si="92"/>
        <v>0</v>
      </c>
      <c r="BR50" s="26">
        <f t="shared" si="93"/>
        <v>0</v>
      </c>
      <c r="BS50" s="26">
        <f t="shared" si="94"/>
        <v>7.5</v>
      </c>
      <c r="BT50" s="26">
        <f t="shared" si="95"/>
        <v>15</v>
      </c>
      <c r="BU50" s="26">
        <f t="shared" si="96"/>
        <v>0.75</v>
      </c>
      <c r="BV50" s="17" t="s">
        <v>253</v>
      </c>
      <c r="BW50" s="17" t="s">
        <v>254</v>
      </c>
    </row>
    <row r="51" spans="1:75" ht="12" x14ac:dyDescent="0.3">
      <c r="A51" s="18">
        <v>48</v>
      </c>
      <c r="B51" s="18" t="s">
        <v>171</v>
      </c>
      <c r="C51" s="45"/>
      <c r="D51" s="18" t="s">
        <v>134</v>
      </c>
      <c r="E51" s="19" t="s">
        <v>135</v>
      </c>
      <c r="F51" s="18" t="s">
        <v>59</v>
      </c>
      <c r="G51" s="18" t="s">
        <v>60</v>
      </c>
      <c r="H51" s="18">
        <v>6305996910</v>
      </c>
      <c r="I51" s="18" t="s">
        <v>172</v>
      </c>
      <c r="J51" s="20">
        <v>45033</v>
      </c>
      <c r="K51" s="21"/>
      <c r="L51" s="18" t="s">
        <v>62</v>
      </c>
      <c r="M51" s="18" t="s">
        <v>62</v>
      </c>
      <c r="N51" s="22" t="s">
        <v>17</v>
      </c>
      <c r="O51" s="18" t="s">
        <v>62</v>
      </c>
      <c r="P51" s="18" t="s">
        <v>62</v>
      </c>
      <c r="Q51" s="18" t="s">
        <v>62</v>
      </c>
      <c r="R51" s="18" t="s">
        <v>62</v>
      </c>
      <c r="S51" s="18" t="s">
        <v>18</v>
      </c>
      <c r="T51" s="18" t="s">
        <v>62</v>
      </c>
      <c r="U51" s="18" t="s">
        <v>62</v>
      </c>
      <c r="V51" s="23" t="s">
        <v>62</v>
      </c>
      <c r="W51" s="18" t="s">
        <v>62</v>
      </c>
      <c r="X51" s="18" t="s">
        <v>62</v>
      </c>
      <c r="Y51" s="18" t="s">
        <v>17</v>
      </c>
      <c r="Z51" s="18" t="s">
        <v>62</v>
      </c>
      <c r="AA51" s="18" t="s">
        <v>62</v>
      </c>
      <c r="AB51" s="18" t="s">
        <v>62</v>
      </c>
      <c r="AC51" s="18" t="s">
        <v>62</v>
      </c>
      <c r="AD51" s="18" t="s">
        <v>17</v>
      </c>
      <c r="AE51" s="18" t="s">
        <v>62</v>
      </c>
      <c r="AF51" s="18" t="s">
        <v>62</v>
      </c>
      <c r="AG51" s="18" t="s">
        <v>62</v>
      </c>
      <c r="AH51" s="18" t="s">
        <v>62</v>
      </c>
      <c r="AI51" s="18" t="s">
        <v>62</v>
      </c>
      <c r="AJ51" s="18" t="s">
        <v>62</v>
      </c>
      <c r="AK51" s="18" t="s">
        <v>62</v>
      </c>
      <c r="AL51" s="18" t="s">
        <v>62</v>
      </c>
      <c r="AM51" s="18" t="s">
        <v>17</v>
      </c>
      <c r="AN51" s="18">
        <f t="shared" si="80"/>
        <v>23</v>
      </c>
      <c r="AO51" s="18">
        <f t="shared" si="61"/>
        <v>4</v>
      </c>
      <c r="AP51" s="18">
        <f t="shared" si="62"/>
        <v>1</v>
      </c>
      <c r="AQ51" s="18">
        <f t="shared" si="72"/>
        <v>0</v>
      </c>
      <c r="AR51" s="18">
        <f t="shared" si="64"/>
        <v>0</v>
      </c>
      <c r="AS51" s="18">
        <f t="shared" si="73"/>
        <v>0</v>
      </c>
      <c r="AT51" s="18">
        <f t="shared" si="74"/>
        <v>0</v>
      </c>
      <c r="AU51" s="18">
        <f t="shared" si="75"/>
        <v>0</v>
      </c>
      <c r="AV51" s="18">
        <f t="shared" si="76"/>
        <v>0</v>
      </c>
      <c r="AW51" s="18">
        <f t="shared" si="77"/>
        <v>0</v>
      </c>
      <c r="AX51" s="18">
        <f t="shared" si="78"/>
        <v>0</v>
      </c>
      <c r="AY51" s="18">
        <f t="shared" si="79"/>
        <v>0</v>
      </c>
      <c r="AZ51" s="23">
        <f t="shared" si="81"/>
        <v>28</v>
      </c>
      <c r="BA51" s="18">
        <f t="shared" si="82"/>
        <v>24</v>
      </c>
      <c r="BB51" s="24">
        <f t="shared" si="83"/>
        <v>28</v>
      </c>
      <c r="BC51" s="25">
        <f t="shared" si="84"/>
        <v>0.95833333333333337</v>
      </c>
      <c r="BD51" s="26">
        <f>VLOOKUP(B51,'Jan''26- Leave Bal'!$B$3:$D$83,3,0)</f>
        <v>0</v>
      </c>
      <c r="BE51" s="27">
        <f>VLOOKUP(B51,'Jan''26- Leave Bal'!$B$3:$E$83,4,0)+$BE$3</f>
        <v>0.5</v>
      </c>
      <c r="BF51" s="27">
        <f>VLOOKUP(B51,'Jan''26- Leave Bal'!$B$3:$F$83,5,0)+$BF$3</f>
        <v>0.5</v>
      </c>
      <c r="BG51" s="27">
        <f>VLOOKUP(B51,'Jan''26- Leave Bal'!$B$3:$G$83,6,0)+$BG$3</f>
        <v>7</v>
      </c>
      <c r="BH51" s="27">
        <f>VLOOKUP(B51,'Jan''26- Leave Bal'!$B$3:$H$83,7,0)</f>
        <v>15</v>
      </c>
      <c r="BI51" s="27">
        <f>VLOOKUP(B51,'Jan''26- Leave Bal'!$B$3:$I$83,8,0)+$BI$3</f>
        <v>0.75</v>
      </c>
      <c r="BJ51" s="28">
        <f t="shared" si="85"/>
        <v>0</v>
      </c>
      <c r="BK51" s="28">
        <f t="shared" si="86"/>
        <v>0.5</v>
      </c>
      <c r="BL51" s="28">
        <f t="shared" si="87"/>
        <v>0.5</v>
      </c>
      <c r="BM51" s="28">
        <f t="shared" si="88"/>
        <v>0</v>
      </c>
      <c r="BN51" s="28">
        <f t="shared" si="89"/>
        <v>0</v>
      </c>
      <c r="BO51" s="28">
        <f t="shared" si="90"/>
        <v>0</v>
      </c>
      <c r="BP51" s="28">
        <f t="shared" si="91"/>
        <v>0</v>
      </c>
      <c r="BQ51" s="26">
        <f t="shared" si="92"/>
        <v>0</v>
      </c>
      <c r="BR51" s="26">
        <f t="shared" si="93"/>
        <v>0</v>
      </c>
      <c r="BS51" s="26">
        <f t="shared" si="94"/>
        <v>7</v>
      </c>
      <c r="BT51" s="26">
        <f t="shared" si="95"/>
        <v>15</v>
      </c>
      <c r="BU51" s="26">
        <f t="shared" si="96"/>
        <v>0.75</v>
      </c>
      <c r="BW51" s="17">
        <v>0</v>
      </c>
    </row>
    <row r="52" spans="1:75" ht="12" x14ac:dyDescent="0.3">
      <c r="A52" s="18">
        <v>49</v>
      </c>
      <c r="B52" s="18" t="s">
        <v>173</v>
      </c>
      <c r="C52" s="45"/>
      <c r="D52" s="18" t="s">
        <v>134</v>
      </c>
      <c r="E52" s="19" t="s">
        <v>135</v>
      </c>
      <c r="F52" s="18" t="s">
        <v>59</v>
      </c>
      <c r="G52" s="18" t="s">
        <v>60</v>
      </c>
      <c r="H52" s="18">
        <v>8341143877</v>
      </c>
      <c r="I52" s="18" t="s">
        <v>174</v>
      </c>
      <c r="J52" s="20">
        <v>44426</v>
      </c>
      <c r="K52" s="21"/>
      <c r="L52" s="18" t="s">
        <v>62</v>
      </c>
      <c r="M52" s="18" t="s">
        <v>62</v>
      </c>
      <c r="N52" s="18" t="s">
        <v>62</v>
      </c>
      <c r="O52" s="18" t="s">
        <v>62</v>
      </c>
      <c r="P52" s="18" t="s">
        <v>62</v>
      </c>
      <c r="Q52" s="18" t="s">
        <v>62</v>
      </c>
      <c r="R52" s="18" t="s">
        <v>62</v>
      </c>
      <c r="S52" s="18" t="s">
        <v>17</v>
      </c>
      <c r="T52" s="18" t="s">
        <v>17</v>
      </c>
      <c r="U52" s="18" t="s">
        <v>62</v>
      </c>
      <c r="V52" s="23" t="s">
        <v>62</v>
      </c>
      <c r="W52" s="18" t="s">
        <v>62</v>
      </c>
      <c r="X52" s="18" t="s">
        <v>62</v>
      </c>
      <c r="Y52" s="18" t="s">
        <v>62</v>
      </c>
      <c r="Z52" s="18" t="s">
        <v>62</v>
      </c>
      <c r="AA52" s="18" t="s">
        <v>62</v>
      </c>
      <c r="AB52" s="18" t="s">
        <v>62</v>
      </c>
      <c r="AC52" s="18" t="s">
        <v>62</v>
      </c>
      <c r="AD52" s="18" t="s">
        <v>17</v>
      </c>
      <c r="AE52" s="18" t="s">
        <v>62</v>
      </c>
      <c r="AF52" s="18" t="s">
        <v>62</v>
      </c>
      <c r="AG52" s="18" t="s">
        <v>18</v>
      </c>
      <c r="AH52" s="18" t="s">
        <v>62</v>
      </c>
      <c r="AI52" s="18" t="s">
        <v>62</v>
      </c>
      <c r="AJ52" s="18" t="s">
        <v>62</v>
      </c>
      <c r="AK52" s="18" t="s">
        <v>62</v>
      </c>
      <c r="AL52" s="18" t="s">
        <v>62</v>
      </c>
      <c r="AM52" s="18" t="s">
        <v>17</v>
      </c>
      <c r="AN52" s="18">
        <f t="shared" si="80"/>
        <v>23</v>
      </c>
      <c r="AO52" s="18">
        <f t="shared" si="61"/>
        <v>4</v>
      </c>
      <c r="AP52" s="18">
        <f t="shared" si="62"/>
        <v>1</v>
      </c>
      <c r="AQ52" s="18">
        <f t="shared" si="72"/>
        <v>0</v>
      </c>
      <c r="AR52" s="18">
        <f t="shared" si="64"/>
        <v>0</v>
      </c>
      <c r="AS52" s="18">
        <f t="shared" si="73"/>
        <v>0</v>
      </c>
      <c r="AT52" s="18">
        <f t="shared" si="74"/>
        <v>0</v>
      </c>
      <c r="AU52" s="18">
        <f t="shared" si="75"/>
        <v>0</v>
      </c>
      <c r="AV52" s="18">
        <f t="shared" si="76"/>
        <v>0</v>
      </c>
      <c r="AW52" s="18">
        <f t="shared" si="77"/>
        <v>0</v>
      </c>
      <c r="AX52" s="18">
        <f t="shared" si="78"/>
        <v>0</v>
      </c>
      <c r="AY52" s="18">
        <f t="shared" si="79"/>
        <v>0</v>
      </c>
      <c r="AZ52" s="23">
        <f t="shared" si="81"/>
        <v>28</v>
      </c>
      <c r="BA52" s="18">
        <f t="shared" si="82"/>
        <v>24</v>
      </c>
      <c r="BB52" s="24">
        <f t="shared" si="83"/>
        <v>28</v>
      </c>
      <c r="BC52" s="25">
        <f t="shared" si="84"/>
        <v>0.95833333333333337</v>
      </c>
      <c r="BD52" s="26">
        <f>VLOOKUP(B52,'Jan''26- Leave Bal'!$B$3:$D$83,3,0)</f>
        <v>0</v>
      </c>
      <c r="BE52" s="27">
        <f>VLOOKUP(B52,'Jan''26- Leave Bal'!$B$3:$E$83,4,0)+$BE$3</f>
        <v>1</v>
      </c>
      <c r="BF52" s="27">
        <f>VLOOKUP(B52,'Jan''26- Leave Bal'!$B$3:$F$83,5,0)+$BF$3</f>
        <v>3.5</v>
      </c>
      <c r="BG52" s="27">
        <f>VLOOKUP(B52,'Jan''26- Leave Bal'!$B$3:$G$83,6,0)+$BG$3</f>
        <v>12</v>
      </c>
      <c r="BH52" s="27">
        <f>VLOOKUP(B52,'Jan''26- Leave Bal'!$B$3:$H$83,7,0)</f>
        <v>15</v>
      </c>
      <c r="BI52" s="27">
        <f>VLOOKUP(B52,'Jan''26- Leave Bal'!$B$3:$I$83,8,0)+$BI$3</f>
        <v>0.75</v>
      </c>
      <c r="BJ52" s="28">
        <f t="shared" si="85"/>
        <v>0</v>
      </c>
      <c r="BK52" s="28">
        <f t="shared" si="86"/>
        <v>1</v>
      </c>
      <c r="BL52" s="28">
        <f t="shared" si="87"/>
        <v>0</v>
      </c>
      <c r="BM52" s="28">
        <f t="shared" si="88"/>
        <v>0</v>
      </c>
      <c r="BN52" s="28">
        <f t="shared" si="89"/>
        <v>0</v>
      </c>
      <c r="BO52" s="28">
        <f t="shared" si="90"/>
        <v>0</v>
      </c>
      <c r="BP52" s="28">
        <f t="shared" si="91"/>
        <v>0</v>
      </c>
      <c r="BQ52" s="26">
        <f t="shared" si="92"/>
        <v>0</v>
      </c>
      <c r="BR52" s="26">
        <f t="shared" si="93"/>
        <v>3.5</v>
      </c>
      <c r="BS52" s="26">
        <f t="shared" si="94"/>
        <v>12</v>
      </c>
      <c r="BT52" s="26">
        <f t="shared" si="95"/>
        <v>15</v>
      </c>
      <c r="BU52" s="26">
        <f t="shared" si="96"/>
        <v>0.75</v>
      </c>
      <c r="BV52" s="17" t="s">
        <v>253</v>
      </c>
      <c r="BW52" s="17" t="s">
        <v>254</v>
      </c>
    </row>
    <row r="53" spans="1:75" ht="12" x14ac:dyDescent="0.3">
      <c r="A53" s="18">
        <v>50</v>
      </c>
      <c r="B53" s="18" t="s">
        <v>175</v>
      </c>
      <c r="C53" s="45"/>
      <c r="D53" s="18" t="s">
        <v>134</v>
      </c>
      <c r="E53" s="19" t="s">
        <v>135</v>
      </c>
      <c r="F53" s="18" t="s">
        <v>59</v>
      </c>
      <c r="G53" s="18" t="s">
        <v>60</v>
      </c>
      <c r="H53" s="18">
        <v>9381278392</v>
      </c>
      <c r="I53" s="18" t="s">
        <v>176</v>
      </c>
      <c r="J53" s="20">
        <v>45033</v>
      </c>
      <c r="K53" s="21"/>
      <c r="L53" s="22" t="s">
        <v>17</v>
      </c>
      <c r="M53" s="18" t="s">
        <v>62</v>
      </c>
      <c r="N53" s="18" t="s">
        <v>62</v>
      </c>
      <c r="O53" s="18" t="s">
        <v>62</v>
      </c>
      <c r="P53" s="18" t="s">
        <v>62</v>
      </c>
      <c r="Q53" s="18" t="s">
        <v>62</v>
      </c>
      <c r="R53" s="22" t="s">
        <v>17</v>
      </c>
      <c r="S53" s="18" t="s">
        <v>18</v>
      </c>
      <c r="T53" s="18" t="s">
        <v>62</v>
      </c>
      <c r="U53" s="18" t="s">
        <v>62</v>
      </c>
      <c r="V53" s="23" t="s">
        <v>62</v>
      </c>
      <c r="W53" s="18" t="s">
        <v>62</v>
      </c>
      <c r="X53" s="18" t="s">
        <v>62</v>
      </c>
      <c r="Y53" s="18" t="s">
        <v>17</v>
      </c>
      <c r="Z53" s="18" t="s">
        <v>62</v>
      </c>
      <c r="AA53" s="18" t="s">
        <v>17</v>
      </c>
      <c r="AB53" s="18" t="s">
        <v>62</v>
      </c>
      <c r="AC53" s="18" t="s">
        <v>62</v>
      </c>
      <c r="AD53" s="18" t="s">
        <v>18</v>
      </c>
      <c r="AE53" s="18" t="s">
        <v>62</v>
      </c>
      <c r="AF53" s="18" t="s">
        <v>62</v>
      </c>
      <c r="AG53" s="18" t="s">
        <v>62</v>
      </c>
      <c r="AH53" s="18" t="s">
        <v>62</v>
      </c>
      <c r="AI53" s="18" t="s">
        <v>62</v>
      </c>
      <c r="AJ53" s="18" t="s">
        <v>62</v>
      </c>
      <c r="AK53" s="18" t="s">
        <v>62</v>
      </c>
      <c r="AL53" s="18" t="s">
        <v>62</v>
      </c>
      <c r="AM53" s="18" t="s">
        <v>17</v>
      </c>
      <c r="AN53" s="18">
        <f t="shared" si="80"/>
        <v>21</v>
      </c>
      <c r="AO53" s="18">
        <f t="shared" si="61"/>
        <v>5</v>
      </c>
      <c r="AP53" s="18">
        <f t="shared" si="62"/>
        <v>2</v>
      </c>
      <c r="AQ53" s="18">
        <f t="shared" si="72"/>
        <v>0</v>
      </c>
      <c r="AR53" s="18">
        <f t="shared" si="64"/>
        <v>0</v>
      </c>
      <c r="AS53" s="18">
        <f t="shared" si="73"/>
        <v>0</v>
      </c>
      <c r="AT53" s="18">
        <f t="shared" si="74"/>
        <v>0</v>
      </c>
      <c r="AU53" s="18">
        <f t="shared" si="75"/>
        <v>0</v>
      </c>
      <c r="AV53" s="18">
        <f t="shared" si="76"/>
        <v>0</v>
      </c>
      <c r="AW53" s="18">
        <f t="shared" si="77"/>
        <v>0</v>
      </c>
      <c r="AX53" s="18">
        <f t="shared" si="78"/>
        <v>0</v>
      </c>
      <c r="AY53" s="18">
        <f t="shared" si="79"/>
        <v>0</v>
      </c>
      <c r="AZ53" s="23">
        <f t="shared" si="81"/>
        <v>28</v>
      </c>
      <c r="BA53" s="18">
        <f t="shared" si="82"/>
        <v>23</v>
      </c>
      <c r="BB53" s="24">
        <f t="shared" si="83"/>
        <v>28</v>
      </c>
      <c r="BC53" s="25">
        <f t="shared" si="84"/>
        <v>0.91304347826086951</v>
      </c>
      <c r="BD53" s="26">
        <f>VLOOKUP(B53,'Jan''26- Leave Bal'!$B$3:$D$83,3,0)</f>
        <v>0</v>
      </c>
      <c r="BE53" s="27">
        <f>VLOOKUP(B53,'Jan''26- Leave Bal'!$B$3:$E$83,4,0)+$BE$3</f>
        <v>4.5</v>
      </c>
      <c r="BF53" s="27">
        <f>VLOOKUP(B53,'Jan''26- Leave Bal'!$B$3:$F$83,5,0)+$BF$3</f>
        <v>5.5</v>
      </c>
      <c r="BG53" s="27">
        <f>VLOOKUP(B53,'Jan''26- Leave Bal'!$B$3:$G$83,6,0)+$BG$3</f>
        <v>13</v>
      </c>
      <c r="BH53" s="27">
        <f>VLOOKUP(B53,'Jan''26- Leave Bal'!$B$3:$H$83,7,0)</f>
        <v>15</v>
      </c>
      <c r="BI53" s="27">
        <f>VLOOKUP(B53,'Jan''26- Leave Bal'!$B$3:$I$83,8,0)+$BI$3</f>
        <v>0.75</v>
      </c>
      <c r="BJ53" s="28">
        <f t="shared" si="85"/>
        <v>0</v>
      </c>
      <c r="BK53" s="28">
        <f t="shared" si="86"/>
        <v>2</v>
      </c>
      <c r="BL53" s="28">
        <f t="shared" si="87"/>
        <v>0</v>
      </c>
      <c r="BM53" s="28">
        <f t="shared" si="88"/>
        <v>0</v>
      </c>
      <c r="BN53" s="28">
        <f t="shared" si="89"/>
        <v>0</v>
      </c>
      <c r="BO53" s="28">
        <f t="shared" si="90"/>
        <v>0</v>
      </c>
      <c r="BP53" s="28">
        <f t="shared" si="91"/>
        <v>0</v>
      </c>
      <c r="BQ53" s="26">
        <f t="shared" si="92"/>
        <v>2.5</v>
      </c>
      <c r="BR53" s="26">
        <f t="shared" si="93"/>
        <v>5.5</v>
      </c>
      <c r="BS53" s="26">
        <f t="shared" si="94"/>
        <v>13</v>
      </c>
      <c r="BT53" s="26">
        <f t="shared" si="95"/>
        <v>15</v>
      </c>
      <c r="BU53" s="26">
        <f t="shared" si="96"/>
        <v>0.75</v>
      </c>
      <c r="BV53" s="17" t="s">
        <v>253</v>
      </c>
      <c r="BW53" s="17">
        <v>0</v>
      </c>
    </row>
    <row r="54" spans="1:75" ht="12" x14ac:dyDescent="0.3">
      <c r="A54" s="18">
        <v>51</v>
      </c>
      <c r="B54" s="18" t="s">
        <v>177</v>
      </c>
      <c r="C54" s="45"/>
      <c r="D54" s="18" t="s">
        <v>134</v>
      </c>
      <c r="E54" s="19" t="s">
        <v>135</v>
      </c>
      <c r="F54" s="18" t="s">
        <v>59</v>
      </c>
      <c r="G54" s="18" t="s">
        <v>60</v>
      </c>
      <c r="H54" s="18">
        <v>8096818851</v>
      </c>
      <c r="I54" s="18" t="s">
        <v>178</v>
      </c>
      <c r="J54" s="20">
        <v>45033</v>
      </c>
      <c r="K54" s="21"/>
      <c r="L54" s="18" t="s">
        <v>62</v>
      </c>
      <c r="M54" s="18" t="s">
        <v>62</v>
      </c>
      <c r="N54" s="18" t="s">
        <v>62</v>
      </c>
      <c r="O54" s="18" t="s">
        <v>62</v>
      </c>
      <c r="P54" s="18" t="s">
        <v>62</v>
      </c>
      <c r="Q54" s="18" t="s">
        <v>62</v>
      </c>
      <c r="R54" s="22" t="s">
        <v>17</v>
      </c>
      <c r="S54" s="18" t="s">
        <v>18</v>
      </c>
      <c r="T54" s="18" t="s">
        <v>62</v>
      </c>
      <c r="U54" s="18" t="s">
        <v>62</v>
      </c>
      <c r="V54" s="23" t="s">
        <v>62</v>
      </c>
      <c r="W54" s="23" t="s">
        <v>17</v>
      </c>
      <c r="X54" s="18" t="s">
        <v>62</v>
      </c>
      <c r="Y54" s="18" t="s">
        <v>62</v>
      </c>
      <c r="Z54" s="18" t="s">
        <v>62</v>
      </c>
      <c r="AA54" s="18" t="s">
        <v>62</v>
      </c>
      <c r="AB54" s="18" t="s">
        <v>62</v>
      </c>
      <c r="AC54" s="18" t="s">
        <v>62</v>
      </c>
      <c r="AD54" s="18" t="s">
        <v>17</v>
      </c>
      <c r="AE54" s="18" t="s">
        <v>62</v>
      </c>
      <c r="AF54" s="18" t="s">
        <v>62</v>
      </c>
      <c r="AG54" s="18" t="s">
        <v>62</v>
      </c>
      <c r="AH54" s="18" t="s">
        <v>62</v>
      </c>
      <c r="AI54" s="18" t="s">
        <v>17</v>
      </c>
      <c r="AJ54" s="18" t="s">
        <v>62</v>
      </c>
      <c r="AK54" s="18" t="s">
        <v>62</v>
      </c>
      <c r="AL54" s="18" t="s">
        <v>62</v>
      </c>
      <c r="AM54" s="18" t="s">
        <v>62</v>
      </c>
      <c r="AN54" s="18">
        <f t="shared" si="80"/>
        <v>23</v>
      </c>
      <c r="AO54" s="18">
        <f t="shared" si="61"/>
        <v>4</v>
      </c>
      <c r="AP54" s="18">
        <f t="shared" si="62"/>
        <v>1</v>
      </c>
      <c r="AQ54" s="18">
        <f t="shared" si="72"/>
        <v>0</v>
      </c>
      <c r="AR54" s="18">
        <f t="shared" si="64"/>
        <v>0</v>
      </c>
      <c r="AS54" s="18">
        <f t="shared" si="73"/>
        <v>0</v>
      </c>
      <c r="AT54" s="18">
        <f t="shared" si="74"/>
        <v>0</v>
      </c>
      <c r="AU54" s="18">
        <f t="shared" si="75"/>
        <v>0</v>
      </c>
      <c r="AV54" s="18">
        <f t="shared" si="76"/>
        <v>0</v>
      </c>
      <c r="AW54" s="18">
        <f t="shared" si="77"/>
        <v>0</v>
      </c>
      <c r="AX54" s="18">
        <f t="shared" si="78"/>
        <v>0</v>
      </c>
      <c r="AY54" s="18">
        <f t="shared" si="79"/>
        <v>0</v>
      </c>
      <c r="AZ54" s="23">
        <f t="shared" si="81"/>
        <v>28</v>
      </c>
      <c r="BA54" s="18">
        <f t="shared" si="82"/>
        <v>24</v>
      </c>
      <c r="BB54" s="24">
        <f t="shared" si="83"/>
        <v>28</v>
      </c>
      <c r="BC54" s="25">
        <f t="shared" si="84"/>
        <v>0.95833333333333337</v>
      </c>
      <c r="BD54" s="26">
        <f>VLOOKUP(B54,'Jan''26- Leave Bal'!$B$3:$D$83,3,0)</f>
        <v>0</v>
      </c>
      <c r="BE54" s="27">
        <f>VLOOKUP(B54,'Jan''26- Leave Bal'!$B$3:$E$83,4,0)+$BE$3</f>
        <v>0.5</v>
      </c>
      <c r="BF54" s="27">
        <f>VLOOKUP(B54,'Jan''26- Leave Bal'!$B$3:$F$83,5,0)+$BF$3</f>
        <v>4.5</v>
      </c>
      <c r="BG54" s="27">
        <f>VLOOKUP(B54,'Jan''26- Leave Bal'!$B$3:$G$83,6,0)+$BG$3</f>
        <v>13</v>
      </c>
      <c r="BH54" s="27">
        <f>VLOOKUP(B54,'Jan''26- Leave Bal'!$B$3:$H$83,7,0)</f>
        <v>15</v>
      </c>
      <c r="BI54" s="27">
        <f>VLOOKUP(B54,'Jan''26- Leave Bal'!$B$3:$I$83,8,0)+$BI$3</f>
        <v>0.75</v>
      </c>
      <c r="BJ54" s="28">
        <f t="shared" si="85"/>
        <v>0</v>
      </c>
      <c r="BK54" s="28">
        <f t="shared" si="86"/>
        <v>0.5</v>
      </c>
      <c r="BL54" s="28">
        <f t="shared" si="87"/>
        <v>0.5</v>
      </c>
      <c r="BM54" s="28">
        <f t="shared" si="88"/>
        <v>0</v>
      </c>
      <c r="BN54" s="28">
        <f t="shared" si="89"/>
        <v>0</v>
      </c>
      <c r="BO54" s="28">
        <f t="shared" si="90"/>
        <v>0</v>
      </c>
      <c r="BP54" s="28">
        <f t="shared" si="91"/>
        <v>0</v>
      </c>
      <c r="BQ54" s="26">
        <f t="shared" si="92"/>
        <v>0</v>
      </c>
      <c r="BR54" s="26">
        <f t="shared" si="93"/>
        <v>4</v>
      </c>
      <c r="BS54" s="26">
        <f t="shared" si="94"/>
        <v>13</v>
      </c>
      <c r="BT54" s="26">
        <f t="shared" si="95"/>
        <v>15</v>
      </c>
      <c r="BU54" s="26">
        <f t="shared" si="96"/>
        <v>0.75</v>
      </c>
      <c r="BW54" s="17">
        <v>0</v>
      </c>
    </row>
    <row r="55" spans="1:75" ht="12" x14ac:dyDescent="0.3">
      <c r="A55" s="18">
        <v>52</v>
      </c>
      <c r="B55" s="18" t="s">
        <v>179</v>
      </c>
      <c r="C55" s="45"/>
      <c r="D55" s="18" t="s">
        <v>134</v>
      </c>
      <c r="E55" s="19" t="s">
        <v>135</v>
      </c>
      <c r="F55" s="18" t="s">
        <v>59</v>
      </c>
      <c r="G55" s="18" t="s">
        <v>60</v>
      </c>
      <c r="H55" s="18">
        <v>9951499221</v>
      </c>
      <c r="I55" s="18" t="s">
        <v>180</v>
      </c>
      <c r="J55" s="20">
        <v>44845</v>
      </c>
      <c r="K55" s="21"/>
      <c r="L55" s="18" t="s">
        <v>62</v>
      </c>
      <c r="M55" s="22" t="s">
        <v>62</v>
      </c>
      <c r="N55" s="18" t="s">
        <v>62</v>
      </c>
      <c r="O55" s="18" t="s">
        <v>62</v>
      </c>
      <c r="P55" s="18" t="s">
        <v>62</v>
      </c>
      <c r="Q55" s="18" t="s">
        <v>62</v>
      </c>
      <c r="R55" s="18" t="s">
        <v>62</v>
      </c>
      <c r="S55" s="18" t="s">
        <v>17</v>
      </c>
      <c r="T55" s="18" t="s">
        <v>17</v>
      </c>
      <c r="U55" s="18" t="s">
        <v>62</v>
      </c>
      <c r="V55" s="23" t="s">
        <v>62</v>
      </c>
      <c r="W55" s="18" t="s">
        <v>62</v>
      </c>
      <c r="X55" s="18" t="s">
        <v>62</v>
      </c>
      <c r="Y55" s="18" t="s">
        <v>62</v>
      </c>
      <c r="Z55" s="18" t="s">
        <v>62</v>
      </c>
      <c r="AA55" s="18" t="s">
        <v>62</v>
      </c>
      <c r="AB55" s="18" t="s">
        <v>62</v>
      </c>
      <c r="AC55" s="18" t="s">
        <v>62</v>
      </c>
      <c r="AD55" s="18" t="s">
        <v>62</v>
      </c>
      <c r="AE55" s="18" t="s">
        <v>17</v>
      </c>
      <c r="AF55" s="18" t="s">
        <v>62</v>
      </c>
      <c r="AG55" s="18" t="s">
        <v>62</v>
      </c>
      <c r="AH55" s="18" t="s">
        <v>62</v>
      </c>
      <c r="AI55" s="18" t="s">
        <v>62</v>
      </c>
      <c r="AJ55" s="18" t="s">
        <v>62</v>
      </c>
      <c r="AK55" s="18" t="s">
        <v>17</v>
      </c>
      <c r="AL55" s="18" t="s">
        <v>62</v>
      </c>
      <c r="AM55" s="18" t="s">
        <v>62</v>
      </c>
      <c r="AN55" s="18">
        <f t="shared" si="80"/>
        <v>24</v>
      </c>
      <c r="AO55" s="18">
        <f t="shared" si="61"/>
        <v>4</v>
      </c>
      <c r="AP55" s="18">
        <f t="shared" si="62"/>
        <v>0</v>
      </c>
      <c r="AQ55" s="18">
        <f t="shared" si="72"/>
        <v>0</v>
      </c>
      <c r="AR55" s="18">
        <f t="shared" si="64"/>
        <v>0</v>
      </c>
      <c r="AS55" s="18">
        <f t="shared" si="73"/>
        <v>0</v>
      </c>
      <c r="AT55" s="18">
        <f t="shared" si="74"/>
        <v>0</v>
      </c>
      <c r="AU55" s="18">
        <f t="shared" si="75"/>
        <v>0</v>
      </c>
      <c r="AV55" s="18">
        <f t="shared" si="76"/>
        <v>0</v>
      </c>
      <c r="AW55" s="18">
        <f t="shared" si="77"/>
        <v>0</v>
      </c>
      <c r="AX55" s="18">
        <f t="shared" si="78"/>
        <v>0</v>
      </c>
      <c r="AY55" s="18">
        <f t="shared" si="79"/>
        <v>0</v>
      </c>
      <c r="AZ55" s="23">
        <f t="shared" si="81"/>
        <v>28</v>
      </c>
      <c r="BA55" s="18">
        <f t="shared" si="82"/>
        <v>24</v>
      </c>
      <c r="BB55" s="24">
        <f t="shared" si="83"/>
        <v>28</v>
      </c>
      <c r="BC55" s="25">
        <f t="shared" si="84"/>
        <v>1</v>
      </c>
      <c r="BD55" s="26">
        <f>VLOOKUP(B55,'Jan''26- Leave Bal'!$B$3:$D$83,3,0)</f>
        <v>0</v>
      </c>
      <c r="BE55" s="27">
        <f>VLOOKUP(B55,'Jan''26- Leave Bal'!$B$3:$E$83,4,0)+$BE$3</f>
        <v>0.5</v>
      </c>
      <c r="BF55" s="27">
        <f>VLOOKUP(B55,'Jan''26- Leave Bal'!$B$3:$F$83,5,0)+$BF$3</f>
        <v>4</v>
      </c>
      <c r="BG55" s="27">
        <f>VLOOKUP(B55,'Jan''26- Leave Bal'!$B$3:$G$83,6,0)+$BG$3</f>
        <v>13</v>
      </c>
      <c r="BH55" s="27">
        <f>VLOOKUP(B55,'Jan''26- Leave Bal'!$B$3:$H$83,7,0)</f>
        <v>15</v>
      </c>
      <c r="BI55" s="27">
        <f>VLOOKUP(B55,'Jan''26- Leave Bal'!$B$3:$I$83,8,0)+$BI$3</f>
        <v>0.75</v>
      </c>
      <c r="BJ55" s="28">
        <f t="shared" si="85"/>
        <v>0</v>
      </c>
      <c r="BK55" s="28">
        <f t="shared" si="86"/>
        <v>0</v>
      </c>
      <c r="BL55" s="28">
        <f t="shared" si="87"/>
        <v>0</v>
      </c>
      <c r="BM55" s="28">
        <f t="shared" si="88"/>
        <v>0</v>
      </c>
      <c r="BN55" s="28">
        <f t="shared" si="89"/>
        <v>0</v>
      </c>
      <c r="BO55" s="28">
        <f t="shared" si="90"/>
        <v>0</v>
      </c>
      <c r="BP55" s="28">
        <f t="shared" si="91"/>
        <v>0</v>
      </c>
      <c r="BQ55" s="26">
        <f t="shared" si="92"/>
        <v>0.5</v>
      </c>
      <c r="BR55" s="26">
        <f t="shared" si="93"/>
        <v>4</v>
      </c>
      <c r="BS55" s="26">
        <f t="shared" si="94"/>
        <v>13</v>
      </c>
      <c r="BT55" s="26">
        <f t="shared" si="95"/>
        <v>15</v>
      </c>
      <c r="BU55" s="26">
        <f t="shared" si="96"/>
        <v>0.75</v>
      </c>
      <c r="BV55" s="17" t="s">
        <v>253</v>
      </c>
      <c r="BW55" s="17" t="s">
        <v>254</v>
      </c>
    </row>
    <row r="56" spans="1:75" ht="12" x14ac:dyDescent="0.3">
      <c r="A56" s="18">
        <v>53</v>
      </c>
      <c r="B56" s="18" t="s">
        <v>181</v>
      </c>
      <c r="C56" s="45"/>
      <c r="D56" s="19" t="s">
        <v>182</v>
      </c>
      <c r="E56" s="19" t="s">
        <v>182</v>
      </c>
      <c r="F56" s="19" t="s">
        <v>182</v>
      </c>
      <c r="G56" s="18" t="s">
        <v>60</v>
      </c>
      <c r="H56" s="18">
        <v>9347453906</v>
      </c>
      <c r="I56" s="18" t="s">
        <v>183</v>
      </c>
      <c r="J56" s="20">
        <v>45159</v>
      </c>
      <c r="K56" s="21"/>
      <c r="L56" s="18" t="s">
        <v>62</v>
      </c>
      <c r="M56" s="18" t="s">
        <v>62</v>
      </c>
      <c r="N56" s="18" t="s">
        <v>62</v>
      </c>
      <c r="O56" s="18" t="s">
        <v>62</v>
      </c>
      <c r="P56" s="18" t="s">
        <v>62</v>
      </c>
      <c r="Q56" s="18" t="s">
        <v>62</v>
      </c>
      <c r="R56" s="18" t="s">
        <v>62</v>
      </c>
      <c r="S56" s="22" t="s">
        <v>17</v>
      </c>
      <c r="T56" s="18" t="s">
        <v>62</v>
      </c>
      <c r="U56" s="18" t="s">
        <v>62</v>
      </c>
      <c r="V56" s="18" t="s">
        <v>62</v>
      </c>
      <c r="W56" s="18" t="s">
        <v>62</v>
      </c>
      <c r="X56" s="18" t="s">
        <v>62</v>
      </c>
      <c r="Y56" s="18" t="s">
        <v>62</v>
      </c>
      <c r="Z56" s="22" t="s">
        <v>17</v>
      </c>
      <c r="AA56" s="18" t="s">
        <v>62</v>
      </c>
      <c r="AB56" s="18" t="s">
        <v>62</v>
      </c>
      <c r="AC56" s="18" t="s">
        <v>62</v>
      </c>
      <c r="AD56" s="18" t="s">
        <v>62</v>
      </c>
      <c r="AE56" s="18" t="s">
        <v>62</v>
      </c>
      <c r="AF56" s="18" t="s">
        <v>62</v>
      </c>
      <c r="AG56" s="18" t="s">
        <v>17</v>
      </c>
      <c r="AH56" s="18" t="s">
        <v>62</v>
      </c>
      <c r="AI56" s="18" t="s">
        <v>62</v>
      </c>
      <c r="AJ56" s="18" t="s">
        <v>62</v>
      </c>
      <c r="AK56" s="18" t="s">
        <v>62</v>
      </c>
      <c r="AL56" s="18" t="s">
        <v>62</v>
      </c>
      <c r="AM56" s="18" t="s">
        <v>17</v>
      </c>
      <c r="AN56" s="18">
        <f t="shared" si="80"/>
        <v>24</v>
      </c>
      <c r="AO56" s="18">
        <f t="shared" si="61"/>
        <v>4</v>
      </c>
      <c r="AP56" s="18">
        <f t="shared" si="62"/>
        <v>0</v>
      </c>
      <c r="AQ56" s="18">
        <f t="shared" si="72"/>
        <v>0</v>
      </c>
      <c r="AR56" s="18">
        <f t="shared" si="64"/>
        <v>0</v>
      </c>
      <c r="AS56" s="18">
        <f t="shared" si="73"/>
        <v>0</v>
      </c>
      <c r="AT56" s="18">
        <f t="shared" si="74"/>
        <v>0</v>
      </c>
      <c r="AU56" s="18">
        <f t="shared" si="75"/>
        <v>0</v>
      </c>
      <c r="AV56" s="18">
        <f t="shared" si="76"/>
        <v>0</v>
      </c>
      <c r="AW56" s="18">
        <f t="shared" si="77"/>
        <v>0</v>
      </c>
      <c r="AX56" s="18">
        <f t="shared" si="78"/>
        <v>0</v>
      </c>
      <c r="AY56" s="18">
        <f t="shared" si="79"/>
        <v>0</v>
      </c>
      <c r="AZ56" s="23">
        <f t="shared" si="81"/>
        <v>28</v>
      </c>
      <c r="BA56" s="18">
        <f t="shared" si="82"/>
        <v>24</v>
      </c>
      <c r="BB56" s="24">
        <f t="shared" si="83"/>
        <v>28</v>
      </c>
      <c r="BC56" s="25">
        <f t="shared" si="84"/>
        <v>1</v>
      </c>
      <c r="BD56" s="26">
        <f>VLOOKUP(B56,'Jan''26- Leave Bal'!$B$3:$D$83,3,0)</f>
        <v>0</v>
      </c>
      <c r="BE56" s="27">
        <f>VLOOKUP(B56,'Jan''26- Leave Bal'!$B$3:$E$83,4,0)+$BE$3</f>
        <v>1</v>
      </c>
      <c r="BF56" s="27">
        <f>VLOOKUP(B56,'Jan''26- Leave Bal'!$B$3:$F$83,5,0)+$BF$3</f>
        <v>1.5</v>
      </c>
      <c r="BG56" s="27">
        <f>VLOOKUP(B56,'Jan''26- Leave Bal'!$B$3:$G$83,6,0)+$BG$3</f>
        <v>8</v>
      </c>
      <c r="BH56" s="27">
        <f>VLOOKUP(B56,'Jan''26- Leave Bal'!$B$3:$H$83,7,0)</f>
        <v>15</v>
      </c>
      <c r="BI56" s="27">
        <f>VLOOKUP(B56,'Jan''26- Leave Bal'!$B$3:$I$83,8,0)+$BI$3</f>
        <v>0.75</v>
      </c>
      <c r="BJ56" s="28">
        <f t="shared" si="85"/>
        <v>0</v>
      </c>
      <c r="BK56" s="28">
        <f t="shared" si="86"/>
        <v>0</v>
      </c>
      <c r="BL56" s="28">
        <f t="shared" si="87"/>
        <v>0</v>
      </c>
      <c r="BM56" s="28">
        <f t="shared" si="88"/>
        <v>0</v>
      </c>
      <c r="BN56" s="28">
        <f t="shared" si="89"/>
        <v>0</v>
      </c>
      <c r="BO56" s="28">
        <f t="shared" si="90"/>
        <v>0</v>
      </c>
      <c r="BP56" s="28">
        <f t="shared" si="91"/>
        <v>0</v>
      </c>
      <c r="BQ56" s="26">
        <f t="shared" si="92"/>
        <v>1</v>
      </c>
      <c r="BR56" s="26">
        <f t="shared" si="93"/>
        <v>1.5</v>
      </c>
      <c r="BS56" s="26">
        <f t="shared" si="94"/>
        <v>8</v>
      </c>
      <c r="BT56" s="26">
        <f t="shared" si="95"/>
        <v>15</v>
      </c>
      <c r="BU56" s="26">
        <f t="shared" si="96"/>
        <v>0.75</v>
      </c>
      <c r="BV56" s="17" t="s">
        <v>253</v>
      </c>
      <c r="BW56" s="17" t="s">
        <v>254</v>
      </c>
    </row>
    <row r="57" spans="1:75" ht="12" x14ac:dyDescent="0.3">
      <c r="A57" s="18">
        <v>54</v>
      </c>
      <c r="B57" s="18" t="s">
        <v>184</v>
      </c>
      <c r="C57" s="45"/>
      <c r="D57" s="19" t="s">
        <v>182</v>
      </c>
      <c r="E57" s="19" t="s">
        <v>182</v>
      </c>
      <c r="F57" s="19" t="s">
        <v>182</v>
      </c>
      <c r="G57" s="18" t="s">
        <v>77</v>
      </c>
      <c r="H57" s="18">
        <v>6300386376</v>
      </c>
      <c r="I57" s="18" t="s">
        <v>185</v>
      </c>
      <c r="J57" s="20">
        <v>45159</v>
      </c>
      <c r="K57" s="21"/>
      <c r="L57" s="22" t="s">
        <v>17</v>
      </c>
      <c r="M57" s="18" t="s">
        <v>18</v>
      </c>
      <c r="N57" s="18" t="s">
        <v>62</v>
      </c>
      <c r="O57" s="18" t="s">
        <v>62</v>
      </c>
      <c r="P57" s="18" t="s">
        <v>62</v>
      </c>
      <c r="Q57" s="18" t="s">
        <v>62</v>
      </c>
      <c r="R57" s="22" t="s">
        <v>17</v>
      </c>
      <c r="S57" s="18" t="s">
        <v>62</v>
      </c>
      <c r="T57" s="18" t="s">
        <v>62</v>
      </c>
      <c r="U57" s="18" t="s">
        <v>62</v>
      </c>
      <c r="V57" s="18" t="s">
        <v>62</v>
      </c>
      <c r="W57" s="18" t="s">
        <v>62</v>
      </c>
      <c r="X57" s="18" t="s">
        <v>62</v>
      </c>
      <c r="Y57" s="18" t="s">
        <v>62</v>
      </c>
      <c r="Z57" s="22" t="s">
        <v>17</v>
      </c>
      <c r="AA57" s="18" t="s">
        <v>62</v>
      </c>
      <c r="AB57" s="18" t="s">
        <v>62</v>
      </c>
      <c r="AC57" s="18" t="s">
        <v>62</v>
      </c>
      <c r="AD57" s="18" t="s">
        <v>62</v>
      </c>
      <c r="AE57" s="18" t="s">
        <v>62</v>
      </c>
      <c r="AF57" s="18" t="s">
        <v>18</v>
      </c>
      <c r="AG57" s="18" t="s">
        <v>17</v>
      </c>
      <c r="AH57" s="18" t="s">
        <v>62</v>
      </c>
      <c r="AI57" s="18" t="s">
        <v>62</v>
      </c>
      <c r="AJ57" s="18" t="s">
        <v>62</v>
      </c>
      <c r="AK57" s="18" t="s">
        <v>17</v>
      </c>
      <c r="AL57" s="18" t="s">
        <v>62</v>
      </c>
      <c r="AM57" s="18" t="s">
        <v>62</v>
      </c>
      <c r="AN57" s="18">
        <f t="shared" si="80"/>
        <v>21</v>
      </c>
      <c r="AO57" s="18">
        <f t="shared" si="61"/>
        <v>5</v>
      </c>
      <c r="AP57" s="18">
        <f t="shared" si="62"/>
        <v>2</v>
      </c>
      <c r="AQ57" s="18">
        <f t="shared" si="72"/>
        <v>0</v>
      </c>
      <c r="AR57" s="18">
        <f t="shared" si="64"/>
        <v>0</v>
      </c>
      <c r="AS57" s="18">
        <f t="shared" si="73"/>
        <v>0</v>
      </c>
      <c r="AT57" s="18">
        <f t="shared" si="74"/>
        <v>0</v>
      </c>
      <c r="AU57" s="18">
        <f t="shared" si="75"/>
        <v>0</v>
      </c>
      <c r="AV57" s="18">
        <f t="shared" si="76"/>
        <v>0</v>
      </c>
      <c r="AW57" s="18">
        <f t="shared" si="77"/>
        <v>0</v>
      </c>
      <c r="AX57" s="18">
        <f t="shared" si="78"/>
        <v>0</v>
      </c>
      <c r="AY57" s="18">
        <f t="shared" si="79"/>
        <v>0</v>
      </c>
      <c r="AZ57" s="23">
        <f t="shared" si="81"/>
        <v>28</v>
      </c>
      <c r="BA57" s="18">
        <f t="shared" si="82"/>
        <v>23</v>
      </c>
      <c r="BB57" s="24">
        <f t="shared" si="83"/>
        <v>28</v>
      </c>
      <c r="BC57" s="25">
        <f t="shared" si="84"/>
        <v>0.91304347826086951</v>
      </c>
      <c r="BD57" s="26">
        <f>VLOOKUP(B57,'Jan''26- Leave Bal'!$B$3:$D$83,3,0)</f>
        <v>0</v>
      </c>
      <c r="BE57" s="27">
        <f>VLOOKUP(B57,'Jan''26- Leave Bal'!$B$3:$E$83,4,0)+$BE$3</f>
        <v>0.5</v>
      </c>
      <c r="BF57" s="27">
        <f>VLOOKUP(B57,'Jan''26- Leave Bal'!$B$3:$F$83,5,0)+$BF$3</f>
        <v>0.5</v>
      </c>
      <c r="BG57" s="27">
        <f>VLOOKUP(B57,'Jan''26- Leave Bal'!$B$3:$G$83,6,0)+$BG$3</f>
        <v>10</v>
      </c>
      <c r="BH57" s="27">
        <f>VLOOKUP(B57,'Jan''26- Leave Bal'!$B$3:$H$83,7,0)</f>
        <v>15</v>
      </c>
      <c r="BI57" s="27">
        <f>VLOOKUP(B57,'Jan''26- Leave Bal'!$B$3:$I$83,8,0)+$BI$3</f>
        <v>0.75</v>
      </c>
      <c r="BJ57" s="28">
        <f t="shared" si="85"/>
        <v>0</v>
      </c>
      <c r="BK57" s="28">
        <f t="shared" si="86"/>
        <v>0.5</v>
      </c>
      <c r="BL57" s="28">
        <f t="shared" si="87"/>
        <v>0.5</v>
      </c>
      <c r="BM57" s="28">
        <f t="shared" si="88"/>
        <v>1</v>
      </c>
      <c r="BN57" s="28">
        <f t="shared" si="89"/>
        <v>0</v>
      </c>
      <c r="BO57" s="28">
        <f t="shared" si="90"/>
        <v>0</v>
      </c>
      <c r="BP57" s="28">
        <f t="shared" si="91"/>
        <v>0</v>
      </c>
      <c r="BQ57" s="26">
        <f t="shared" si="92"/>
        <v>0</v>
      </c>
      <c r="BR57" s="26">
        <f t="shared" si="93"/>
        <v>0</v>
      </c>
      <c r="BS57" s="26">
        <f t="shared" si="94"/>
        <v>9</v>
      </c>
      <c r="BT57" s="26">
        <f t="shared" si="95"/>
        <v>15</v>
      </c>
      <c r="BU57" s="26">
        <f t="shared" si="96"/>
        <v>0.75</v>
      </c>
      <c r="BV57" s="17" t="s">
        <v>253</v>
      </c>
      <c r="BW57" s="17">
        <v>0</v>
      </c>
    </row>
    <row r="58" spans="1:75" ht="12" x14ac:dyDescent="0.3">
      <c r="A58" s="18">
        <v>55</v>
      </c>
      <c r="B58" s="18" t="s">
        <v>186</v>
      </c>
      <c r="C58" s="45"/>
      <c r="D58" s="18" t="s">
        <v>187</v>
      </c>
      <c r="E58" s="19" t="s">
        <v>187</v>
      </c>
      <c r="F58" s="18" t="s">
        <v>187</v>
      </c>
      <c r="G58" s="18" t="s">
        <v>77</v>
      </c>
      <c r="H58" s="18">
        <v>9704986433</v>
      </c>
      <c r="I58" s="18" t="s">
        <v>188</v>
      </c>
      <c r="J58" s="31">
        <v>45086</v>
      </c>
      <c r="K58" s="32"/>
      <c r="L58" s="22" t="s">
        <v>17</v>
      </c>
      <c r="M58" s="18" t="s">
        <v>62</v>
      </c>
      <c r="N58" s="18" t="s">
        <v>62</v>
      </c>
      <c r="O58" s="22" t="s">
        <v>62</v>
      </c>
      <c r="P58" s="18" t="s">
        <v>62</v>
      </c>
      <c r="Q58" s="18" t="s">
        <v>62</v>
      </c>
      <c r="R58" s="18" t="s">
        <v>62</v>
      </c>
      <c r="S58" s="18" t="s">
        <v>17</v>
      </c>
      <c r="T58" s="18" t="s">
        <v>62</v>
      </c>
      <c r="U58" s="18" t="s">
        <v>62</v>
      </c>
      <c r="V58" s="18" t="s">
        <v>62</v>
      </c>
      <c r="W58" s="18" t="s">
        <v>62</v>
      </c>
      <c r="X58" s="18" t="s">
        <v>62</v>
      </c>
      <c r="Y58" s="18" t="s">
        <v>62</v>
      </c>
      <c r="Z58" s="22" t="s">
        <v>17</v>
      </c>
      <c r="AA58" s="18" t="s">
        <v>62</v>
      </c>
      <c r="AB58" s="18" t="s">
        <v>62</v>
      </c>
      <c r="AC58" s="18" t="s">
        <v>62</v>
      </c>
      <c r="AD58" s="18" t="s">
        <v>18</v>
      </c>
      <c r="AE58" s="18" t="s">
        <v>62</v>
      </c>
      <c r="AF58" s="18" t="s">
        <v>62</v>
      </c>
      <c r="AG58" s="18" t="s">
        <v>17</v>
      </c>
      <c r="AH58" s="18" t="s">
        <v>62</v>
      </c>
      <c r="AI58" s="18" t="s">
        <v>62</v>
      </c>
      <c r="AJ58" s="18" t="s">
        <v>18</v>
      </c>
      <c r="AK58" s="18" t="s">
        <v>62</v>
      </c>
      <c r="AL58" s="18" t="s">
        <v>62</v>
      </c>
      <c r="AM58" s="18" t="s">
        <v>62</v>
      </c>
      <c r="AN58" s="18">
        <f t="shared" si="80"/>
        <v>22</v>
      </c>
      <c r="AO58" s="18">
        <f t="shared" si="61"/>
        <v>4</v>
      </c>
      <c r="AP58" s="18">
        <f t="shared" si="62"/>
        <v>2</v>
      </c>
      <c r="AQ58" s="18">
        <f t="shared" si="72"/>
        <v>0</v>
      </c>
      <c r="AR58" s="18">
        <f t="shared" si="64"/>
        <v>0</v>
      </c>
      <c r="AS58" s="18">
        <f t="shared" si="73"/>
        <v>0</v>
      </c>
      <c r="AT58" s="18">
        <f t="shared" si="74"/>
        <v>0</v>
      </c>
      <c r="AU58" s="18">
        <f t="shared" si="75"/>
        <v>0</v>
      </c>
      <c r="AV58" s="18">
        <f t="shared" si="76"/>
        <v>0</v>
      </c>
      <c r="AW58" s="18">
        <f t="shared" si="77"/>
        <v>0</v>
      </c>
      <c r="AX58" s="18">
        <f t="shared" si="78"/>
        <v>0</v>
      </c>
      <c r="AY58" s="18">
        <f t="shared" si="79"/>
        <v>0</v>
      </c>
      <c r="AZ58" s="23">
        <f t="shared" si="81"/>
        <v>28</v>
      </c>
      <c r="BA58" s="18">
        <f t="shared" si="82"/>
        <v>24</v>
      </c>
      <c r="BB58" s="24">
        <f t="shared" si="83"/>
        <v>28</v>
      </c>
      <c r="BC58" s="25">
        <f t="shared" si="84"/>
        <v>0.91666666666666663</v>
      </c>
      <c r="BD58" s="26">
        <f>VLOOKUP(B58,'Jan''26- Leave Bal'!$B$3:$D$83,3,0)</f>
        <v>0</v>
      </c>
      <c r="BE58" s="27">
        <f>VLOOKUP(B58,'Jan''26- Leave Bal'!$B$3:$E$83,4,0)+$BE$3</f>
        <v>0.5</v>
      </c>
      <c r="BF58" s="27">
        <f>VLOOKUP(B58,'Jan''26- Leave Bal'!$B$3:$F$83,5,0)+$BF$3</f>
        <v>0.5</v>
      </c>
      <c r="BG58" s="27">
        <f>VLOOKUP(B58,'Jan''26- Leave Bal'!$B$3:$G$83,6,0)+$BG$3</f>
        <v>1</v>
      </c>
      <c r="BH58" s="27">
        <f>VLOOKUP(B58,'Jan''26- Leave Bal'!$B$3:$H$83,7,0)</f>
        <v>15</v>
      </c>
      <c r="BI58" s="27">
        <f>VLOOKUP(B58,'Jan''26- Leave Bal'!$B$3:$I$83,8,0)+$BI$3</f>
        <v>0.75</v>
      </c>
      <c r="BJ58" s="28">
        <f t="shared" si="85"/>
        <v>0</v>
      </c>
      <c r="BK58" s="28">
        <f t="shared" si="86"/>
        <v>0.5</v>
      </c>
      <c r="BL58" s="28">
        <f t="shared" si="87"/>
        <v>0.5</v>
      </c>
      <c r="BM58" s="28">
        <f t="shared" si="88"/>
        <v>1</v>
      </c>
      <c r="BN58" s="28">
        <f t="shared" si="89"/>
        <v>0</v>
      </c>
      <c r="BO58" s="28">
        <f t="shared" si="90"/>
        <v>0</v>
      </c>
      <c r="BP58" s="28">
        <f t="shared" si="91"/>
        <v>0</v>
      </c>
      <c r="BQ58" s="26">
        <f t="shared" si="92"/>
        <v>0</v>
      </c>
      <c r="BR58" s="26">
        <f t="shared" si="93"/>
        <v>0</v>
      </c>
      <c r="BS58" s="26">
        <f t="shared" si="94"/>
        <v>0</v>
      </c>
      <c r="BT58" s="26">
        <f t="shared" si="95"/>
        <v>15</v>
      </c>
      <c r="BU58" s="26">
        <f t="shared" si="96"/>
        <v>0.75</v>
      </c>
      <c r="BW58" s="17">
        <v>0</v>
      </c>
    </row>
    <row r="59" spans="1:75" ht="12" x14ac:dyDescent="0.3">
      <c r="A59" s="18">
        <v>56</v>
      </c>
      <c r="B59" s="18" t="s">
        <v>189</v>
      </c>
      <c r="C59" s="45"/>
      <c r="D59" s="18" t="s">
        <v>187</v>
      </c>
      <c r="E59" s="19" t="s">
        <v>187</v>
      </c>
      <c r="F59" s="18" t="s">
        <v>187</v>
      </c>
      <c r="G59" s="18" t="s">
        <v>77</v>
      </c>
      <c r="H59" s="18">
        <v>8331843591</v>
      </c>
      <c r="I59" s="18" t="s">
        <v>190</v>
      </c>
      <c r="J59" s="31">
        <v>45086</v>
      </c>
      <c r="K59" s="32"/>
      <c r="L59" s="22" t="s">
        <v>17</v>
      </c>
      <c r="M59" s="18" t="s">
        <v>62</v>
      </c>
      <c r="N59" s="18" t="s">
        <v>62</v>
      </c>
      <c r="O59" s="18" t="s">
        <v>62</v>
      </c>
      <c r="P59" s="18" t="s">
        <v>62</v>
      </c>
      <c r="Q59" s="18" t="s">
        <v>62</v>
      </c>
      <c r="R59" s="18" t="s">
        <v>62</v>
      </c>
      <c r="S59" s="18" t="s">
        <v>17</v>
      </c>
      <c r="T59" s="18" t="s">
        <v>62</v>
      </c>
      <c r="U59" s="18" t="s">
        <v>62</v>
      </c>
      <c r="V59" s="18" t="s">
        <v>62</v>
      </c>
      <c r="W59" s="18" t="s">
        <v>62</v>
      </c>
      <c r="X59" s="18" t="s">
        <v>18</v>
      </c>
      <c r="Y59" s="18" t="s">
        <v>62</v>
      </c>
      <c r="Z59" s="22" t="s">
        <v>17</v>
      </c>
      <c r="AA59" s="18" t="s">
        <v>18</v>
      </c>
      <c r="AB59" s="18" t="s">
        <v>62</v>
      </c>
      <c r="AC59" s="18" t="s">
        <v>62</v>
      </c>
      <c r="AD59" s="18" t="s">
        <v>62</v>
      </c>
      <c r="AE59" s="18" t="s">
        <v>62</v>
      </c>
      <c r="AF59" s="18" t="s">
        <v>62</v>
      </c>
      <c r="AG59" s="18" t="s">
        <v>17</v>
      </c>
      <c r="AH59" s="18" t="s">
        <v>62</v>
      </c>
      <c r="AI59" s="18" t="s">
        <v>62</v>
      </c>
      <c r="AJ59" s="18" t="s">
        <v>62</v>
      </c>
      <c r="AK59" s="18" t="s">
        <v>62</v>
      </c>
      <c r="AL59" s="18" t="s">
        <v>62</v>
      </c>
      <c r="AM59" s="18" t="s">
        <v>62</v>
      </c>
      <c r="AN59" s="18">
        <f t="shared" si="80"/>
        <v>22</v>
      </c>
      <c r="AO59" s="18">
        <f t="shared" si="61"/>
        <v>4</v>
      </c>
      <c r="AP59" s="18">
        <f t="shared" si="62"/>
        <v>2</v>
      </c>
      <c r="AQ59" s="18">
        <f t="shared" si="72"/>
        <v>0</v>
      </c>
      <c r="AR59" s="18">
        <f t="shared" si="64"/>
        <v>0</v>
      </c>
      <c r="AS59" s="18">
        <f t="shared" si="73"/>
        <v>0</v>
      </c>
      <c r="AT59" s="18">
        <f t="shared" si="74"/>
        <v>0</v>
      </c>
      <c r="AU59" s="18">
        <f t="shared" si="75"/>
        <v>0</v>
      </c>
      <c r="AV59" s="18">
        <f t="shared" si="76"/>
        <v>0</v>
      </c>
      <c r="AW59" s="18">
        <f t="shared" si="77"/>
        <v>0</v>
      </c>
      <c r="AX59" s="18">
        <f t="shared" si="78"/>
        <v>0</v>
      </c>
      <c r="AY59" s="18">
        <f t="shared" si="79"/>
        <v>0</v>
      </c>
      <c r="AZ59" s="23">
        <f t="shared" si="81"/>
        <v>28</v>
      </c>
      <c r="BA59" s="18">
        <f t="shared" si="82"/>
        <v>24</v>
      </c>
      <c r="BB59" s="24">
        <f t="shared" si="83"/>
        <v>28</v>
      </c>
      <c r="BC59" s="25">
        <f t="shared" si="84"/>
        <v>0.91666666666666663</v>
      </c>
      <c r="BD59" s="26">
        <f>VLOOKUP(B59,'Jan''26- Leave Bal'!$B$3:$D$83,3,0)</f>
        <v>0</v>
      </c>
      <c r="BE59" s="27">
        <f>VLOOKUP(B59,'Jan''26- Leave Bal'!$B$3:$E$83,4,0)+$BE$3</f>
        <v>0.5</v>
      </c>
      <c r="BF59" s="27">
        <f>VLOOKUP(B59,'Jan''26- Leave Bal'!$B$3:$F$83,5,0)+$BF$3</f>
        <v>0.5</v>
      </c>
      <c r="BG59" s="27">
        <f>VLOOKUP(B59,'Jan''26- Leave Bal'!$B$3:$G$83,6,0)+$BG$3</f>
        <v>1</v>
      </c>
      <c r="BH59" s="27">
        <f>VLOOKUP(B59,'Jan''26- Leave Bal'!$B$3:$H$83,7,0)</f>
        <v>15</v>
      </c>
      <c r="BI59" s="27">
        <f>VLOOKUP(B59,'Jan''26- Leave Bal'!$B$3:$I$83,8,0)+$BI$3</f>
        <v>0.75</v>
      </c>
      <c r="BJ59" s="28">
        <f t="shared" si="85"/>
        <v>0</v>
      </c>
      <c r="BK59" s="28">
        <f t="shared" si="86"/>
        <v>0.5</v>
      </c>
      <c r="BL59" s="28">
        <f t="shared" si="87"/>
        <v>0.5</v>
      </c>
      <c r="BM59" s="28">
        <f t="shared" si="88"/>
        <v>1</v>
      </c>
      <c r="BN59" s="28">
        <f t="shared" si="89"/>
        <v>0</v>
      </c>
      <c r="BO59" s="28">
        <f t="shared" si="90"/>
        <v>0</v>
      </c>
      <c r="BP59" s="28">
        <f t="shared" si="91"/>
        <v>0</v>
      </c>
      <c r="BQ59" s="26">
        <f t="shared" si="92"/>
        <v>0</v>
      </c>
      <c r="BR59" s="26">
        <f t="shared" si="93"/>
        <v>0</v>
      </c>
      <c r="BS59" s="26">
        <f t="shared" si="94"/>
        <v>0</v>
      </c>
      <c r="BT59" s="26">
        <f t="shared" si="95"/>
        <v>15</v>
      </c>
      <c r="BU59" s="26">
        <f t="shared" si="96"/>
        <v>0.75</v>
      </c>
      <c r="BW59" s="17">
        <v>0</v>
      </c>
    </row>
    <row r="60" spans="1:75" ht="12" x14ac:dyDescent="0.3">
      <c r="A60" s="18">
        <v>57</v>
      </c>
      <c r="B60" s="18" t="s">
        <v>191</v>
      </c>
      <c r="C60" s="45"/>
      <c r="D60" s="18" t="s">
        <v>187</v>
      </c>
      <c r="E60" s="19" t="s">
        <v>187</v>
      </c>
      <c r="F60" s="18" t="s">
        <v>187</v>
      </c>
      <c r="G60" s="18" t="s">
        <v>77</v>
      </c>
      <c r="H60" s="18">
        <v>8247453216</v>
      </c>
      <c r="I60" s="18" t="s">
        <v>192</v>
      </c>
      <c r="J60" s="31">
        <v>45086</v>
      </c>
      <c r="K60" s="32"/>
      <c r="L60" s="22" t="s">
        <v>17</v>
      </c>
      <c r="M60" s="18" t="s">
        <v>18</v>
      </c>
      <c r="N60" s="18" t="s">
        <v>62</v>
      </c>
      <c r="O60" s="18" t="s">
        <v>62</v>
      </c>
      <c r="P60" s="18" t="s">
        <v>62</v>
      </c>
      <c r="Q60" s="18" t="s">
        <v>62</v>
      </c>
      <c r="R60" s="18" t="s">
        <v>62</v>
      </c>
      <c r="S60" s="18" t="s">
        <v>17</v>
      </c>
      <c r="T60" s="22" t="s">
        <v>62</v>
      </c>
      <c r="U60" s="18" t="s">
        <v>62</v>
      </c>
      <c r="V60" s="22" t="s">
        <v>62</v>
      </c>
      <c r="W60" s="18" t="s">
        <v>62</v>
      </c>
      <c r="X60" s="18" t="s">
        <v>62</v>
      </c>
      <c r="Y60" s="18" t="s">
        <v>62</v>
      </c>
      <c r="Z60" s="22" t="s">
        <v>17</v>
      </c>
      <c r="AA60" s="18" t="s">
        <v>19</v>
      </c>
      <c r="AB60" s="18" t="s">
        <v>62</v>
      </c>
      <c r="AC60" s="18" t="s">
        <v>62</v>
      </c>
      <c r="AD60" s="18" t="s">
        <v>18</v>
      </c>
      <c r="AE60" s="18" t="s">
        <v>62</v>
      </c>
      <c r="AF60" s="18" t="s">
        <v>62</v>
      </c>
      <c r="AG60" s="18" t="s">
        <v>17</v>
      </c>
      <c r="AH60" s="18" t="s">
        <v>62</v>
      </c>
      <c r="AI60" s="18" t="s">
        <v>18</v>
      </c>
      <c r="AJ60" s="18" t="s">
        <v>62</v>
      </c>
      <c r="AK60" s="18" t="s">
        <v>62</v>
      </c>
      <c r="AL60" s="18" t="s">
        <v>62</v>
      </c>
      <c r="AM60" s="18" t="s">
        <v>62</v>
      </c>
      <c r="AN60" s="18">
        <f t="shared" si="80"/>
        <v>20.5</v>
      </c>
      <c r="AO60" s="18">
        <f t="shared" si="61"/>
        <v>4</v>
      </c>
      <c r="AP60" s="18">
        <f t="shared" si="62"/>
        <v>3</v>
      </c>
      <c r="AQ60" s="18">
        <f t="shared" si="72"/>
        <v>0.5</v>
      </c>
      <c r="AR60" s="18">
        <f t="shared" si="64"/>
        <v>0</v>
      </c>
      <c r="AS60" s="18">
        <f t="shared" si="73"/>
        <v>0</v>
      </c>
      <c r="AT60" s="18">
        <f t="shared" si="74"/>
        <v>0</v>
      </c>
      <c r="AU60" s="18">
        <f t="shared" si="75"/>
        <v>0</v>
      </c>
      <c r="AV60" s="18">
        <f t="shared" si="76"/>
        <v>0</v>
      </c>
      <c r="AW60" s="18">
        <f t="shared" si="77"/>
        <v>0</v>
      </c>
      <c r="AX60" s="18">
        <f t="shared" si="78"/>
        <v>0</v>
      </c>
      <c r="AY60" s="18">
        <f t="shared" si="79"/>
        <v>0</v>
      </c>
      <c r="AZ60" s="23">
        <f t="shared" si="81"/>
        <v>28</v>
      </c>
      <c r="BA60" s="18">
        <f t="shared" si="82"/>
        <v>24</v>
      </c>
      <c r="BB60" s="24">
        <f t="shared" si="83"/>
        <v>27.5</v>
      </c>
      <c r="BC60" s="25">
        <f t="shared" si="84"/>
        <v>0.85416666666666663</v>
      </c>
      <c r="BD60" s="26">
        <f>VLOOKUP(B60,'Jan''26- Leave Bal'!$B$3:$D$83,3,0)</f>
        <v>0</v>
      </c>
      <c r="BE60" s="27">
        <f>VLOOKUP(B60,'Jan''26- Leave Bal'!$B$3:$E$83,4,0)+$BE$3</f>
        <v>0.5</v>
      </c>
      <c r="BF60" s="27">
        <f>VLOOKUP(B60,'Jan''26- Leave Bal'!$B$3:$F$83,5,0)+$BF$3</f>
        <v>0.5</v>
      </c>
      <c r="BG60" s="27">
        <f>VLOOKUP(B60,'Jan''26- Leave Bal'!$B$3:$G$83,6,0)+$BG$3</f>
        <v>2</v>
      </c>
      <c r="BH60" s="27">
        <f>VLOOKUP(B60,'Jan''26- Leave Bal'!$B$3:$H$83,7,0)</f>
        <v>15</v>
      </c>
      <c r="BI60" s="27">
        <f>VLOOKUP(B60,'Jan''26- Leave Bal'!$B$3:$I$83,8,0)+$BI$3</f>
        <v>0.75</v>
      </c>
      <c r="BJ60" s="28">
        <f t="shared" si="85"/>
        <v>0</v>
      </c>
      <c r="BK60" s="28">
        <f t="shared" si="86"/>
        <v>0.5</v>
      </c>
      <c r="BL60" s="28">
        <f t="shared" si="87"/>
        <v>0.5</v>
      </c>
      <c r="BM60" s="28">
        <f t="shared" si="88"/>
        <v>2</v>
      </c>
      <c r="BN60" s="28">
        <f t="shared" si="89"/>
        <v>0</v>
      </c>
      <c r="BO60" s="28">
        <f t="shared" si="90"/>
        <v>0.5</v>
      </c>
      <c r="BP60" s="28">
        <f t="shared" si="91"/>
        <v>0</v>
      </c>
      <c r="BQ60" s="26">
        <f t="shared" si="92"/>
        <v>0</v>
      </c>
      <c r="BR60" s="26">
        <f t="shared" si="93"/>
        <v>0</v>
      </c>
      <c r="BS60" s="26">
        <f t="shared" si="94"/>
        <v>0</v>
      </c>
      <c r="BT60" s="26">
        <f t="shared" si="95"/>
        <v>15</v>
      </c>
      <c r="BU60" s="26">
        <f t="shared" si="96"/>
        <v>0.75</v>
      </c>
      <c r="BW60" s="17">
        <v>0</v>
      </c>
    </row>
    <row r="61" spans="1:75" ht="12" x14ac:dyDescent="0.3">
      <c r="A61" s="18">
        <v>58</v>
      </c>
      <c r="B61" s="18" t="s">
        <v>193</v>
      </c>
      <c r="C61" s="45"/>
      <c r="D61" s="18" t="s">
        <v>187</v>
      </c>
      <c r="E61" s="19" t="s">
        <v>187</v>
      </c>
      <c r="F61" s="18" t="s">
        <v>187</v>
      </c>
      <c r="G61" s="18" t="s">
        <v>77</v>
      </c>
      <c r="H61" s="18">
        <v>7671000540</v>
      </c>
      <c r="I61" s="18" t="s">
        <v>194</v>
      </c>
      <c r="J61" s="20">
        <v>43983</v>
      </c>
      <c r="K61" s="21"/>
      <c r="L61" s="22" t="s">
        <v>17</v>
      </c>
      <c r="M61" s="18" t="s">
        <v>62</v>
      </c>
      <c r="N61" s="18" t="s">
        <v>62</v>
      </c>
      <c r="O61" s="18" t="s">
        <v>62</v>
      </c>
      <c r="P61" s="18" t="s">
        <v>62</v>
      </c>
      <c r="Q61" s="18" t="s">
        <v>18</v>
      </c>
      <c r="R61" s="18" t="s">
        <v>62</v>
      </c>
      <c r="S61" s="18" t="s">
        <v>17</v>
      </c>
      <c r="T61" s="18" t="s">
        <v>62</v>
      </c>
      <c r="U61" s="18" t="s">
        <v>62</v>
      </c>
      <c r="V61" s="18" t="s">
        <v>62</v>
      </c>
      <c r="W61" s="18" t="s">
        <v>62</v>
      </c>
      <c r="X61" s="18" t="s">
        <v>62</v>
      </c>
      <c r="Y61" s="18" t="s">
        <v>62</v>
      </c>
      <c r="Z61" s="22" t="s">
        <v>17</v>
      </c>
      <c r="AA61" s="18" t="s">
        <v>62</v>
      </c>
      <c r="AB61" s="18" t="s">
        <v>62</v>
      </c>
      <c r="AC61" s="18" t="s">
        <v>62</v>
      </c>
      <c r="AD61" s="18" t="s">
        <v>18</v>
      </c>
      <c r="AE61" s="18" t="s">
        <v>62</v>
      </c>
      <c r="AF61" s="18" t="s">
        <v>62</v>
      </c>
      <c r="AG61" s="18" t="s">
        <v>17</v>
      </c>
      <c r="AH61" s="18" t="s">
        <v>62</v>
      </c>
      <c r="AI61" s="18" t="s">
        <v>62</v>
      </c>
      <c r="AJ61" s="18" t="s">
        <v>62</v>
      </c>
      <c r="AK61" s="18" t="s">
        <v>62</v>
      </c>
      <c r="AL61" s="18" t="s">
        <v>62</v>
      </c>
      <c r="AM61" s="18" t="s">
        <v>62</v>
      </c>
      <c r="AN61" s="18">
        <f t="shared" si="80"/>
        <v>22</v>
      </c>
      <c r="AO61" s="18">
        <f t="shared" si="61"/>
        <v>4</v>
      </c>
      <c r="AP61" s="18">
        <f t="shared" si="62"/>
        <v>2</v>
      </c>
      <c r="AQ61" s="18">
        <f t="shared" si="72"/>
        <v>0</v>
      </c>
      <c r="AR61" s="18">
        <f t="shared" si="64"/>
        <v>0</v>
      </c>
      <c r="AS61" s="18">
        <f t="shared" si="73"/>
        <v>0</v>
      </c>
      <c r="AT61" s="18">
        <f t="shared" si="74"/>
        <v>0</v>
      </c>
      <c r="AU61" s="18">
        <f t="shared" si="75"/>
        <v>0</v>
      </c>
      <c r="AV61" s="18">
        <f t="shared" si="76"/>
        <v>0</v>
      </c>
      <c r="AW61" s="18">
        <f t="shared" si="77"/>
        <v>0</v>
      </c>
      <c r="AX61" s="18">
        <f t="shared" si="78"/>
        <v>0</v>
      </c>
      <c r="AY61" s="18">
        <f t="shared" si="79"/>
        <v>0</v>
      </c>
      <c r="AZ61" s="23">
        <f t="shared" si="81"/>
        <v>28</v>
      </c>
      <c r="BA61" s="18">
        <f t="shared" si="82"/>
        <v>24</v>
      </c>
      <c r="BB61" s="24">
        <f t="shared" si="83"/>
        <v>28</v>
      </c>
      <c r="BC61" s="25">
        <f t="shared" si="84"/>
        <v>0.91666666666666663</v>
      </c>
      <c r="BD61" s="26">
        <f>VLOOKUP(B61,'Jan''26- Leave Bal'!$B$3:$D$83,3,0)</f>
        <v>0</v>
      </c>
      <c r="BE61" s="27">
        <f>VLOOKUP(B61,'Jan''26- Leave Bal'!$B$3:$E$83,4,0)+$BE$3</f>
        <v>0.5</v>
      </c>
      <c r="BF61" s="27">
        <f>VLOOKUP(B61,'Jan''26- Leave Bal'!$B$3:$F$83,5,0)+$BF$3</f>
        <v>4</v>
      </c>
      <c r="BG61" s="27">
        <f>VLOOKUP(B61,'Jan''26- Leave Bal'!$B$3:$G$83,6,0)+$BG$3</f>
        <v>13</v>
      </c>
      <c r="BH61" s="27">
        <f>VLOOKUP(B61,'Jan''26- Leave Bal'!$B$3:$H$83,7,0)</f>
        <v>15</v>
      </c>
      <c r="BI61" s="27">
        <f>VLOOKUP(B61,'Jan''26- Leave Bal'!$B$3:$I$83,8,0)+$BI$3</f>
        <v>0.75</v>
      </c>
      <c r="BJ61" s="28">
        <f t="shared" si="85"/>
        <v>0</v>
      </c>
      <c r="BK61" s="28">
        <f t="shared" si="86"/>
        <v>0.5</v>
      </c>
      <c r="BL61" s="28">
        <f t="shared" si="87"/>
        <v>1.5</v>
      </c>
      <c r="BM61" s="28">
        <f t="shared" si="88"/>
        <v>0</v>
      </c>
      <c r="BN61" s="28">
        <f t="shared" si="89"/>
        <v>0</v>
      </c>
      <c r="BO61" s="28">
        <f t="shared" si="90"/>
        <v>0</v>
      </c>
      <c r="BP61" s="28">
        <f t="shared" si="91"/>
        <v>0</v>
      </c>
      <c r="BQ61" s="26">
        <f t="shared" si="92"/>
        <v>0</v>
      </c>
      <c r="BR61" s="26">
        <f t="shared" si="93"/>
        <v>2.5</v>
      </c>
      <c r="BS61" s="26">
        <f t="shared" si="94"/>
        <v>13</v>
      </c>
      <c r="BT61" s="26">
        <f t="shared" si="95"/>
        <v>15</v>
      </c>
      <c r="BU61" s="26">
        <f t="shared" si="96"/>
        <v>0.75</v>
      </c>
      <c r="BW61" s="17">
        <v>0</v>
      </c>
    </row>
    <row r="62" spans="1:75" ht="12" x14ac:dyDescent="0.3">
      <c r="A62" s="18">
        <v>59</v>
      </c>
      <c r="B62" s="18" t="s">
        <v>195</v>
      </c>
      <c r="C62" s="45"/>
      <c r="D62" s="18" t="s">
        <v>196</v>
      </c>
      <c r="E62" s="18" t="s">
        <v>196</v>
      </c>
      <c r="F62" s="18" t="s">
        <v>196</v>
      </c>
      <c r="G62" s="18" t="s">
        <v>77</v>
      </c>
      <c r="H62" s="18">
        <v>9505169127</v>
      </c>
      <c r="I62" s="18" t="s">
        <v>197</v>
      </c>
      <c r="J62" s="31">
        <v>45086</v>
      </c>
      <c r="K62" s="32"/>
      <c r="L62" s="18" t="s">
        <v>62</v>
      </c>
      <c r="M62" s="18" t="s">
        <v>62</v>
      </c>
      <c r="N62" s="18" t="s">
        <v>62</v>
      </c>
      <c r="O62" s="22" t="s">
        <v>62</v>
      </c>
      <c r="P62" s="18" t="s">
        <v>62</v>
      </c>
      <c r="Q62" s="18" t="s">
        <v>62</v>
      </c>
      <c r="R62" s="18" t="s">
        <v>62</v>
      </c>
      <c r="S62" s="18" t="s">
        <v>17</v>
      </c>
      <c r="T62" s="18" t="s">
        <v>62</v>
      </c>
      <c r="U62" s="18" t="s">
        <v>62</v>
      </c>
      <c r="V62" s="18" t="s">
        <v>62</v>
      </c>
      <c r="W62" s="18" t="s">
        <v>62</v>
      </c>
      <c r="X62" s="18" t="s">
        <v>62</v>
      </c>
      <c r="Y62" s="18" t="s">
        <v>62</v>
      </c>
      <c r="Z62" s="22" t="s">
        <v>17</v>
      </c>
      <c r="AA62" s="18" t="s">
        <v>62</v>
      </c>
      <c r="AB62" s="18" t="s">
        <v>62</v>
      </c>
      <c r="AC62" s="18" t="s">
        <v>62</v>
      </c>
      <c r="AD62" s="18" t="s">
        <v>62</v>
      </c>
      <c r="AE62" s="18" t="s">
        <v>62</v>
      </c>
      <c r="AF62" s="18" t="s">
        <v>62</v>
      </c>
      <c r="AG62" s="18" t="s">
        <v>17</v>
      </c>
      <c r="AH62" s="18" t="s">
        <v>62</v>
      </c>
      <c r="AI62" s="22" t="s">
        <v>62</v>
      </c>
      <c r="AJ62" s="18" t="s">
        <v>62</v>
      </c>
      <c r="AK62" s="18" t="s">
        <v>18</v>
      </c>
      <c r="AL62" s="18" t="s">
        <v>62</v>
      </c>
      <c r="AM62" s="18" t="s">
        <v>17</v>
      </c>
      <c r="AN62" s="18">
        <f t="shared" si="80"/>
        <v>23</v>
      </c>
      <c r="AO62" s="18">
        <f t="shared" si="61"/>
        <v>4</v>
      </c>
      <c r="AP62" s="18">
        <f t="shared" si="62"/>
        <v>1</v>
      </c>
      <c r="AQ62" s="18">
        <f t="shared" si="72"/>
        <v>0</v>
      </c>
      <c r="AR62" s="18">
        <f t="shared" si="64"/>
        <v>0</v>
      </c>
      <c r="AS62" s="18">
        <f t="shared" si="73"/>
        <v>0</v>
      </c>
      <c r="AT62" s="18">
        <f t="shared" si="74"/>
        <v>0</v>
      </c>
      <c r="AU62" s="18">
        <f t="shared" si="75"/>
        <v>0</v>
      </c>
      <c r="AV62" s="18">
        <f t="shared" si="76"/>
        <v>0</v>
      </c>
      <c r="AW62" s="18">
        <f t="shared" si="77"/>
        <v>0</v>
      </c>
      <c r="AX62" s="18">
        <f t="shared" si="78"/>
        <v>0</v>
      </c>
      <c r="AY62" s="18">
        <f t="shared" si="79"/>
        <v>0</v>
      </c>
      <c r="AZ62" s="23">
        <f t="shared" si="81"/>
        <v>28</v>
      </c>
      <c r="BA62" s="18">
        <f t="shared" si="82"/>
        <v>24</v>
      </c>
      <c r="BB62" s="24">
        <f t="shared" si="83"/>
        <v>28</v>
      </c>
      <c r="BC62" s="25">
        <f t="shared" si="84"/>
        <v>0.95833333333333337</v>
      </c>
      <c r="BD62" s="26">
        <f>VLOOKUP(B62,'Jan''26- Leave Bal'!$B$3:$D$83,3,0)</f>
        <v>0</v>
      </c>
      <c r="BE62" s="27">
        <f>VLOOKUP(B62,'Jan''26- Leave Bal'!$B$3:$E$83,4,0)+$BE$3</f>
        <v>0.5</v>
      </c>
      <c r="BF62" s="27">
        <f>VLOOKUP(B62,'Jan''26- Leave Bal'!$B$3:$F$83,5,0)+$BF$3</f>
        <v>0.5</v>
      </c>
      <c r="BG62" s="27">
        <f>VLOOKUP(B62,'Jan''26- Leave Bal'!$B$3:$G$83,6,0)+$BG$3</f>
        <v>7</v>
      </c>
      <c r="BH62" s="27">
        <f>VLOOKUP(B62,'Jan''26- Leave Bal'!$B$3:$H$83,7,0)</f>
        <v>15</v>
      </c>
      <c r="BI62" s="27">
        <f>VLOOKUP(B62,'Jan''26- Leave Bal'!$B$3:$I$83,8,0)+$BI$3</f>
        <v>0.75</v>
      </c>
      <c r="BJ62" s="28">
        <f t="shared" si="85"/>
        <v>0</v>
      </c>
      <c r="BK62" s="28">
        <f t="shared" si="86"/>
        <v>0.5</v>
      </c>
      <c r="BL62" s="28">
        <f t="shared" si="87"/>
        <v>0.5</v>
      </c>
      <c r="BM62" s="28">
        <f t="shared" si="88"/>
        <v>0</v>
      </c>
      <c r="BN62" s="28">
        <f t="shared" si="89"/>
        <v>0</v>
      </c>
      <c r="BO62" s="28">
        <f t="shared" si="90"/>
        <v>0</v>
      </c>
      <c r="BP62" s="28">
        <f t="shared" si="91"/>
        <v>0</v>
      </c>
      <c r="BQ62" s="26">
        <f t="shared" si="92"/>
        <v>0</v>
      </c>
      <c r="BR62" s="26">
        <f t="shared" si="93"/>
        <v>0</v>
      </c>
      <c r="BS62" s="26">
        <f t="shared" si="94"/>
        <v>7</v>
      </c>
      <c r="BT62" s="26">
        <f t="shared" si="95"/>
        <v>15</v>
      </c>
      <c r="BU62" s="26">
        <f t="shared" si="96"/>
        <v>0.75</v>
      </c>
      <c r="BW62" s="17">
        <v>0</v>
      </c>
    </row>
    <row r="63" spans="1:75" ht="12" x14ac:dyDescent="0.3">
      <c r="A63" s="18">
        <v>60</v>
      </c>
      <c r="B63" s="18" t="s">
        <v>198</v>
      </c>
      <c r="C63" s="45"/>
      <c r="D63" s="18" t="s">
        <v>196</v>
      </c>
      <c r="E63" s="18" t="s">
        <v>196</v>
      </c>
      <c r="F63" s="18" t="s">
        <v>196</v>
      </c>
      <c r="G63" s="18" t="s">
        <v>77</v>
      </c>
      <c r="H63" s="18">
        <v>8919925486</v>
      </c>
      <c r="I63" s="18" t="s">
        <v>199</v>
      </c>
      <c r="J63" s="20">
        <v>44426</v>
      </c>
      <c r="K63" s="21"/>
      <c r="L63" s="22" t="s">
        <v>17</v>
      </c>
      <c r="M63" s="18" t="s">
        <v>62</v>
      </c>
      <c r="N63" s="18" t="s">
        <v>62</v>
      </c>
      <c r="O63" s="22" t="s">
        <v>62</v>
      </c>
      <c r="P63" s="18" t="s">
        <v>62</v>
      </c>
      <c r="Q63" s="18" t="s">
        <v>62</v>
      </c>
      <c r="R63" s="18" t="s">
        <v>62</v>
      </c>
      <c r="S63" s="18" t="s">
        <v>17</v>
      </c>
      <c r="T63" s="18" t="s">
        <v>62</v>
      </c>
      <c r="U63" s="18" t="s">
        <v>62</v>
      </c>
      <c r="V63" s="18" t="s">
        <v>62</v>
      </c>
      <c r="W63" s="18" t="s">
        <v>62</v>
      </c>
      <c r="X63" s="18" t="s">
        <v>62</v>
      </c>
      <c r="Y63" s="18" t="s">
        <v>62</v>
      </c>
      <c r="Z63" s="22" t="s">
        <v>17</v>
      </c>
      <c r="AA63" s="18" t="s">
        <v>62</v>
      </c>
      <c r="AB63" s="18" t="s">
        <v>62</v>
      </c>
      <c r="AC63" s="18" t="s">
        <v>62</v>
      </c>
      <c r="AD63" s="18" t="s">
        <v>62</v>
      </c>
      <c r="AE63" s="18" t="s">
        <v>62</v>
      </c>
      <c r="AF63" s="18" t="s">
        <v>62</v>
      </c>
      <c r="AG63" s="18" t="s">
        <v>17</v>
      </c>
      <c r="AH63" s="18" t="s">
        <v>62</v>
      </c>
      <c r="AI63" s="18" t="s">
        <v>62</v>
      </c>
      <c r="AJ63" s="18" t="s">
        <v>62</v>
      </c>
      <c r="AK63" s="18" t="s">
        <v>62</v>
      </c>
      <c r="AL63" s="18" t="s">
        <v>62</v>
      </c>
      <c r="AM63" s="18" t="s">
        <v>62</v>
      </c>
      <c r="AN63" s="18">
        <f t="shared" si="80"/>
        <v>24</v>
      </c>
      <c r="AO63" s="18">
        <f t="shared" si="61"/>
        <v>4</v>
      </c>
      <c r="AP63" s="18">
        <f t="shared" si="62"/>
        <v>0</v>
      </c>
      <c r="AQ63" s="18">
        <f t="shared" si="72"/>
        <v>0</v>
      </c>
      <c r="AR63" s="18">
        <f t="shared" si="64"/>
        <v>0</v>
      </c>
      <c r="AS63" s="18">
        <f t="shared" si="73"/>
        <v>0</v>
      </c>
      <c r="AT63" s="18">
        <f t="shared" si="74"/>
        <v>0</v>
      </c>
      <c r="AU63" s="18">
        <f t="shared" si="75"/>
        <v>0</v>
      </c>
      <c r="AV63" s="18">
        <f t="shared" si="76"/>
        <v>0</v>
      </c>
      <c r="AW63" s="18">
        <f t="shared" si="77"/>
        <v>0</v>
      </c>
      <c r="AX63" s="18">
        <f t="shared" si="78"/>
        <v>0</v>
      </c>
      <c r="AY63" s="18">
        <f t="shared" si="79"/>
        <v>0</v>
      </c>
      <c r="AZ63" s="23">
        <f t="shared" si="81"/>
        <v>28</v>
      </c>
      <c r="BA63" s="18">
        <f t="shared" si="82"/>
        <v>24</v>
      </c>
      <c r="BB63" s="24">
        <f t="shared" si="83"/>
        <v>28</v>
      </c>
      <c r="BC63" s="25">
        <f t="shared" si="84"/>
        <v>1</v>
      </c>
      <c r="BD63" s="26">
        <f>VLOOKUP(B63,'Jan''26- Leave Bal'!$B$3:$D$83,3,0)</f>
        <v>0</v>
      </c>
      <c r="BE63" s="27">
        <f>VLOOKUP(B63,'Jan''26- Leave Bal'!$B$3:$E$83,4,0)+$BE$3</f>
        <v>0.5</v>
      </c>
      <c r="BF63" s="27">
        <f>VLOOKUP(B63,'Jan''26- Leave Bal'!$B$3:$F$83,5,0)+$BF$3</f>
        <v>0.5</v>
      </c>
      <c r="BG63" s="27">
        <f>VLOOKUP(B63,'Jan''26- Leave Bal'!$B$3:$G$83,6,0)+$BG$3</f>
        <v>7</v>
      </c>
      <c r="BH63" s="27">
        <f>VLOOKUP(B63,'Jan''26- Leave Bal'!$B$3:$H$83,7,0)</f>
        <v>15</v>
      </c>
      <c r="BI63" s="27">
        <f>VLOOKUP(B63,'Jan''26- Leave Bal'!$B$3:$I$83,8,0)+$BI$3</f>
        <v>0.75</v>
      </c>
      <c r="BJ63" s="28">
        <f t="shared" si="85"/>
        <v>0</v>
      </c>
      <c r="BK63" s="28">
        <f t="shared" si="86"/>
        <v>0</v>
      </c>
      <c r="BL63" s="28">
        <f t="shared" si="87"/>
        <v>0</v>
      </c>
      <c r="BM63" s="28">
        <f t="shared" si="88"/>
        <v>0</v>
      </c>
      <c r="BN63" s="28">
        <f t="shared" si="89"/>
        <v>0</v>
      </c>
      <c r="BO63" s="28">
        <f t="shared" si="90"/>
        <v>0</v>
      </c>
      <c r="BP63" s="28">
        <f t="shared" si="91"/>
        <v>0</v>
      </c>
      <c r="BQ63" s="26">
        <f t="shared" si="92"/>
        <v>0.5</v>
      </c>
      <c r="BR63" s="26">
        <f t="shared" si="93"/>
        <v>0.5</v>
      </c>
      <c r="BS63" s="26">
        <f t="shared" si="94"/>
        <v>7</v>
      </c>
      <c r="BT63" s="26">
        <f t="shared" si="95"/>
        <v>15</v>
      </c>
      <c r="BU63" s="26">
        <f t="shared" si="96"/>
        <v>0.75</v>
      </c>
      <c r="BW63" s="17">
        <v>0</v>
      </c>
    </row>
    <row r="64" spans="1:75" ht="12" x14ac:dyDescent="0.3">
      <c r="A64" s="18">
        <v>61</v>
      </c>
      <c r="B64" s="18" t="s">
        <v>200</v>
      </c>
      <c r="C64" s="45"/>
      <c r="D64" s="18" t="s">
        <v>196</v>
      </c>
      <c r="E64" s="18" t="s">
        <v>196</v>
      </c>
      <c r="F64" s="18" t="s">
        <v>196</v>
      </c>
      <c r="G64" s="18" t="s">
        <v>77</v>
      </c>
      <c r="H64" s="18">
        <v>7671097268</v>
      </c>
      <c r="I64" s="18" t="s">
        <v>201</v>
      </c>
      <c r="J64" s="20">
        <v>44522</v>
      </c>
      <c r="K64" s="34"/>
      <c r="L64" s="22" t="s">
        <v>17</v>
      </c>
      <c r="M64" s="18" t="s">
        <v>62</v>
      </c>
      <c r="N64" s="18" t="s">
        <v>62</v>
      </c>
      <c r="O64" s="22" t="s">
        <v>62</v>
      </c>
      <c r="P64" s="18" t="s">
        <v>62</v>
      </c>
      <c r="Q64" s="18" t="s">
        <v>62</v>
      </c>
      <c r="R64" s="18" t="s">
        <v>62</v>
      </c>
      <c r="S64" s="18" t="s">
        <v>17</v>
      </c>
      <c r="T64" s="18" t="s">
        <v>62</v>
      </c>
      <c r="U64" s="18" t="s">
        <v>62</v>
      </c>
      <c r="V64" s="18" t="s">
        <v>62</v>
      </c>
      <c r="W64" s="18" t="s">
        <v>62</v>
      </c>
      <c r="X64" s="18" t="s">
        <v>62</v>
      </c>
      <c r="Y64" s="18" t="s">
        <v>62</v>
      </c>
      <c r="Z64" s="22" t="s">
        <v>17</v>
      </c>
      <c r="AA64" s="18" t="s">
        <v>62</v>
      </c>
      <c r="AB64" s="18" t="s">
        <v>62</v>
      </c>
      <c r="AC64" s="18" t="s">
        <v>62</v>
      </c>
      <c r="AD64" s="18" t="s">
        <v>62</v>
      </c>
      <c r="AE64" s="18" t="s">
        <v>62</v>
      </c>
      <c r="AF64" s="18" t="s">
        <v>62</v>
      </c>
      <c r="AG64" s="18" t="s">
        <v>17</v>
      </c>
      <c r="AH64" s="18" t="s">
        <v>62</v>
      </c>
      <c r="AI64" s="18" t="s">
        <v>62</v>
      </c>
      <c r="AJ64" s="18" t="s">
        <v>62</v>
      </c>
      <c r="AK64" s="18" t="s">
        <v>19</v>
      </c>
      <c r="AL64" s="18" t="s">
        <v>62</v>
      </c>
      <c r="AM64" s="18" t="s">
        <v>62</v>
      </c>
      <c r="AN64" s="18">
        <f t="shared" si="80"/>
        <v>23.5</v>
      </c>
      <c r="AO64" s="18">
        <f t="shared" si="61"/>
        <v>4</v>
      </c>
      <c r="AP64" s="18">
        <f t="shared" si="62"/>
        <v>0</v>
      </c>
      <c r="AQ64" s="18">
        <f t="shared" si="72"/>
        <v>0.5</v>
      </c>
      <c r="AR64" s="18">
        <f t="shared" si="64"/>
        <v>0</v>
      </c>
      <c r="AS64" s="18">
        <f t="shared" si="73"/>
        <v>0</v>
      </c>
      <c r="AT64" s="18">
        <f t="shared" si="74"/>
        <v>0</v>
      </c>
      <c r="AU64" s="18">
        <f t="shared" si="75"/>
        <v>0</v>
      </c>
      <c r="AV64" s="18">
        <f t="shared" si="76"/>
        <v>0</v>
      </c>
      <c r="AW64" s="18">
        <f t="shared" si="77"/>
        <v>0</v>
      </c>
      <c r="AX64" s="18">
        <f t="shared" si="78"/>
        <v>0</v>
      </c>
      <c r="AY64" s="18">
        <f t="shared" si="79"/>
        <v>0</v>
      </c>
      <c r="AZ64" s="23">
        <f t="shared" si="81"/>
        <v>28</v>
      </c>
      <c r="BA64" s="18">
        <f t="shared" si="82"/>
        <v>24</v>
      </c>
      <c r="BB64" s="24">
        <f t="shared" si="83"/>
        <v>28</v>
      </c>
      <c r="BC64" s="25">
        <f t="shared" si="84"/>
        <v>0.97916666666666663</v>
      </c>
      <c r="BD64" s="26">
        <f>VLOOKUP(B64,'Jan''26- Leave Bal'!$B$3:$D$83,3,0)</f>
        <v>0</v>
      </c>
      <c r="BE64" s="27">
        <f>VLOOKUP(B64,'Jan''26- Leave Bal'!$B$3:$E$83,4,0)+$BE$3</f>
        <v>0.5</v>
      </c>
      <c r="BF64" s="27">
        <f>VLOOKUP(B64,'Jan''26- Leave Bal'!$B$3:$F$83,5,0)+$BF$3</f>
        <v>0.5</v>
      </c>
      <c r="BG64" s="27">
        <f>VLOOKUP(B64,'Jan''26- Leave Bal'!$B$3:$G$83,6,0)+$BG$3</f>
        <v>8</v>
      </c>
      <c r="BH64" s="27">
        <f>VLOOKUP(B64,'Jan''26- Leave Bal'!$B$3:$H$83,7,0)</f>
        <v>15</v>
      </c>
      <c r="BI64" s="27">
        <f>VLOOKUP(B64,'Jan''26- Leave Bal'!$B$3:$I$83,8,0)+$BI$3</f>
        <v>0.75</v>
      </c>
      <c r="BJ64" s="28">
        <f t="shared" si="85"/>
        <v>0</v>
      </c>
      <c r="BK64" s="28">
        <f t="shared" si="86"/>
        <v>0.5</v>
      </c>
      <c r="BL64" s="28">
        <f t="shared" si="87"/>
        <v>0</v>
      </c>
      <c r="BM64" s="28">
        <f t="shared" si="88"/>
        <v>0</v>
      </c>
      <c r="BN64" s="28">
        <f t="shared" si="89"/>
        <v>0</v>
      </c>
      <c r="BO64" s="28">
        <f t="shared" si="90"/>
        <v>0</v>
      </c>
      <c r="BP64" s="28">
        <f t="shared" si="91"/>
        <v>0</v>
      </c>
      <c r="BQ64" s="26">
        <f t="shared" si="92"/>
        <v>0</v>
      </c>
      <c r="BR64" s="26">
        <f t="shared" si="93"/>
        <v>0.5</v>
      </c>
      <c r="BS64" s="26">
        <f t="shared" si="94"/>
        <v>8</v>
      </c>
      <c r="BT64" s="26">
        <f t="shared" si="95"/>
        <v>15</v>
      </c>
      <c r="BU64" s="26">
        <f t="shared" si="96"/>
        <v>0.75</v>
      </c>
      <c r="BW64" s="17">
        <v>0</v>
      </c>
    </row>
    <row r="65" spans="1:75" ht="12" x14ac:dyDescent="0.3">
      <c r="A65" s="18">
        <v>62</v>
      </c>
      <c r="B65" s="18" t="s">
        <v>202</v>
      </c>
      <c r="C65" s="45"/>
      <c r="D65" s="18" t="s">
        <v>196</v>
      </c>
      <c r="E65" s="18" t="s">
        <v>196</v>
      </c>
      <c r="F65" s="18" t="s">
        <v>196</v>
      </c>
      <c r="G65" s="18" t="s">
        <v>77</v>
      </c>
      <c r="H65" s="18">
        <v>9948967334</v>
      </c>
      <c r="I65" s="40" t="s">
        <v>203</v>
      </c>
      <c r="J65" s="20">
        <v>44075</v>
      </c>
      <c r="K65" s="21"/>
      <c r="L65" s="22" t="s">
        <v>17</v>
      </c>
      <c r="M65" s="18" t="s">
        <v>62</v>
      </c>
      <c r="N65" s="18" t="s">
        <v>62</v>
      </c>
      <c r="O65" s="22" t="s">
        <v>62</v>
      </c>
      <c r="P65" s="18" t="s">
        <v>62</v>
      </c>
      <c r="Q65" s="18" t="s">
        <v>62</v>
      </c>
      <c r="R65" s="18" t="s">
        <v>62</v>
      </c>
      <c r="S65" s="18" t="s">
        <v>17</v>
      </c>
      <c r="T65" s="18" t="s">
        <v>62</v>
      </c>
      <c r="U65" s="18" t="s">
        <v>62</v>
      </c>
      <c r="V65" s="18" t="s">
        <v>62</v>
      </c>
      <c r="W65" s="18" t="s">
        <v>62</v>
      </c>
      <c r="X65" s="18" t="s">
        <v>18</v>
      </c>
      <c r="Y65" s="18" t="s">
        <v>62</v>
      </c>
      <c r="Z65" s="22" t="s">
        <v>17</v>
      </c>
      <c r="AA65" s="18" t="s">
        <v>62</v>
      </c>
      <c r="AB65" s="18" t="s">
        <v>62</v>
      </c>
      <c r="AC65" s="18" t="s">
        <v>62</v>
      </c>
      <c r="AD65" s="18" t="s">
        <v>62</v>
      </c>
      <c r="AE65" s="18" t="s">
        <v>62</v>
      </c>
      <c r="AF65" s="18" t="s">
        <v>62</v>
      </c>
      <c r="AG65" s="18" t="s">
        <v>17</v>
      </c>
      <c r="AH65" s="18" t="s">
        <v>62</v>
      </c>
      <c r="AI65" s="18" t="s">
        <v>62</v>
      </c>
      <c r="AJ65" s="18" t="s">
        <v>62</v>
      </c>
      <c r="AK65" s="18" t="s">
        <v>62</v>
      </c>
      <c r="AL65" s="18" t="s">
        <v>62</v>
      </c>
      <c r="AM65" s="18" t="s">
        <v>62</v>
      </c>
      <c r="AN65" s="18">
        <f t="shared" si="80"/>
        <v>23</v>
      </c>
      <c r="AO65" s="18">
        <f t="shared" si="61"/>
        <v>4</v>
      </c>
      <c r="AP65" s="18">
        <f t="shared" si="62"/>
        <v>1</v>
      </c>
      <c r="AQ65" s="18">
        <f t="shared" si="72"/>
        <v>0</v>
      </c>
      <c r="AR65" s="18">
        <f t="shared" si="64"/>
        <v>0</v>
      </c>
      <c r="AS65" s="18">
        <f t="shared" si="73"/>
        <v>0</v>
      </c>
      <c r="AT65" s="18">
        <f t="shared" si="74"/>
        <v>0</v>
      </c>
      <c r="AU65" s="18">
        <f t="shared" si="75"/>
        <v>0</v>
      </c>
      <c r="AV65" s="18">
        <f t="shared" si="76"/>
        <v>0</v>
      </c>
      <c r="AW65" s="18">
        <f t="shared" si="77"/>
        <v>0</v>
      </c>
      <c r="AX65" s="18">
        <f t="shared" si="78"/>
        <v>0</v>
      </c>
      <c r="AY65" s="18">
        <f t="shared" si="79"/>
        <v>0</v>
      </c>
      <c r="AZ65" s="23">
        <f t="shared" si="81"/>
        <v>28</v>
      </c>
      <c r="BA65" s="18">
        <f t="shared" si="82"/>
        <v>24</v>
      </c>
      <c r="BB65" s="24">
        <f t="shared" si="83"/>
        <v>28</v>
      </c>
      <c r="BC65" s="25">
        <f t="shared" si="84"/>
        <v>0.95833333333333337</v>
      </c>
      <c r="BD65" s="26">
        <f>VLOOKUP(B65,'Jan''26- Leave Bal'!$B$3:$D$83,3,0)</f>
        <v>0</v>
      </c>
      <c r="BE65" s="27">
        <f>VLOOKUP(B65,'Jan''26- Leave Bal'!$B$3:$E$83,4,0)+$BE$3</f>
        <v>0.5</v>
      </c>
      <c r="BF65" s="27">
        <f>VLOOKUP(B65,'Jan''26- Leave Bal'!$B$3:$F$83,5,0)+$BF$3</f>
        <v>5.5</v>
      </c>
      <c r="BG65" s="27">
        <f>VLOOKUP(B65,'Jan''26- Leave Bal'!$B$3:$G$83,6,0)+$BG$3</f>
        <v>13</v>
      </c>
      <c r="BH65" s="27">
        <f>VLOOKUP(B65,'Jan''26- Leave Bal'!$B$3:$H$83,7,0)</f>
        <v>15</v>
      </c>
      <c r="BI65" s="27">
        <f>VLOOKUP(B65,'Jan''26- Leave Bal'!$B$3:$I$83,8,0)+$BI$3</f>
        <v>0.75</v>
      </c>
      <c r="BJ65" s="28">
        <f t="shared" si="85"/>
        <v>0</v>
      </c>
      <c r="BK65" s="28">
        <f t="shared" si="86"/>
        <v>0.5</v>
      </c>
      <c r="BL65" s="28">
        <f t="shared" si="87"/>
        <v>0.5</v>
      </c>
      <c r="BM65" s="28">
        <f t="shared" si="88"/>
        <v>0</v>
      </c>
      <c r="BN65" s="28">
        <f t="shared" si="89"/>
        <v>0</v>
      </c>
      <c r="BO65" s="28">
        <f t="shared" si="90"/>
        <v>0</v>
      </c>
      <c r="BP65" s="28">
        <f t="shared" si="91"/>
        <v>0</v>
      </c>
      <c r="BQ65" s="26">
        <f t="shared" si="92"/>
        <v>0</v>
      </c>
      <c r="BR65" s="26">
        <f t="shared" si="93"/>
        <v>5</v>
      </c>
      <c r="BS65" s="26">
        <f t="shared" si="94"/>
        <v>13</v>
      </c>
      <c r="BT65" s="26">
        <f t="shared" si="95"/>
        <v>15</v>
      </c>
      <c r="BU65" s="26">
        <f t="shared" si="96"/>
        <v>0.75</v>
      </c>
      <c r="BW65" s="17">
        <v>0</v>
      </c>
    </row>
    <row r="66" spans="1:75" ht="12" x14ac:dyDescent="0.3">
      <c r="A66" s="18">
        <v>63</v>
      </c>
      <c r="B66" s="18" t="s">
        <v>204</v>
      </c>
      <c r="C66" s="45"/>
      <c r="D66" s="18" t="s">
        <v>205</v>
      </c>
      <c r="E66" s="18" t="s">
        <v>205</v>
      </c>
      <c r="F66" s="18" t="s">
        <v>205</v>
      </c>
      <c r="G66" s="18" t="s">
        <v>205</v>
      </c>
      <c r="H66" s="18">
        <v>9505853471</v>
      </c>
      <c r="I66" s="18" t="s">
        <v>206</v>
      </c>
      <c r="J66" s="29">
        <v>44326</v>
      </c>
      <c r="K66" s="26"/>
      <c r="L66" s="18" t="s">
        <v>23</v>
      </c>
      <c r="M66" s="18" t="s">
        <v>23</v>
      </c>
      <c r="N66" s="18" t="s">
        <v>23</v>
      </c>
      <c r="O66" s="18" t="s">
        <v>23</v>
      </c>
      <c r="P66" s="18" t="s">
        <v>23</v>
      </c>
      <c r="Q66" s="18" t="s">
        <v>23</v>
      </c>
      <c r="R66" s="18" t="s">
        <v>23</v>
      </c>
      <c r="S66" s="18" t="s">
        <v>23</v>
      </c>
      <c r="T66" s="18" t="s">
        <v>23</v>
      </c>
      <c r="U66" s="18" t="s">
        <v>23</v>
      </c>
      <c r="V66" s="18" t="s">
        <v>23</v>
      </c>
      <c r="W66" s="18" t="s">
        <v>23</v>
      </c>
      <c r="X66" s="18" t="s">
        <v>23</v>
      </c>
      <c r="Y66" s="18" t="s">
        <v>23</v>
      </c>
      <c r="Z66" s="18" t="s">
        <v>23</v>
      </c>
      <c r="AA66" s="18" t="s">
        <v>23</v>
      </c>
      <c r="AB66" s="18" t="s">
        <v>23</v>
      </c>
      <c r="AC66" s="18" t="s">
        <v>23</v>
      </c>
      <c r="AD66" s="18" t="s">
        <v>23</v>
      </c>
      <c r="AE66" s="18" t="s">
        <v>23</v>
      </c>
      <c r="AF66" s="18" t="s">
        <v>23</v>
      </c>
      <c r="AG66" s="18" t="s">
        <v>23</v>
      </c>
      <c r="AH66" s="18" t="s">
        <v>23</v>
      </c>
      <c r="AI66" s="18" t="s">
        <v>23</v>
      </c>
      <c r="AJ66" s="18" t="s">
        <v>23</v>
      </c>
      <c r="AK66" s="18" t="s">
        <v>23</v>
      </c>
      <c r="AL66" s="18" t="s">
        <v>23</v>
      </c>
      <c r="AM66" s="18" t="s">
        <v>23</v>
      </c>
      <c r="AN66" s="18">
        <f t="shared" si="80"/>
        <v>0</v>
      </c>
      <c r="AO66" s="18">
        <f t="shared" si="61"/>
        <v>0</v>
      </c>
      <c r="AP66" s="18">
        <f t="shared" si="62"/>
        <v>0</v>
      </c>
      <c r="AQ66" s="18">
        <f t="shared" si="72"/>
        <v>0</v>
      </c>
      <c r="AR66" s="18">
        <f t="shared" si="64"/>
        <v>0</v>
      </c>
      <c r="AS66" s="18">
        <f t="shared" si="73"/>
        <v>0</v>
      </c>
      <c r="AT66" s="18">
        <f t="shared" si="74"/>
        <v>0</v>
      </c>
      <c r="AU66" s="18">
        <f t="shared" si="75"/>
        <v>28</v>
      </c>
      <c r="AV66" s="18">
        <f t="shared" si="76"/>
        <v>0</v>
      </c>
      <c r="AW66" s="18">
        <f t="shared" si="77"/>
        <v>0</v>
      </c>
      <c r="AX66" s="18">
        <f t="shared" si="78"/>
        <v>0</v>
      </c>
      <c r="AY66" s="18">
        <f t="shared" si="79"/>
        <v>0</v>
      </c>
      <c r="AZ66" s="23">
        <f t="shared" si="81"/>
        <v>28</v>
      </c>
      <c r="BA66" s="18">
        <f t="shared" si="82"/>
        <v>28</v>
      </c>
      <c r="BB66" s="24">
        <f t="shared" si="83"/>
        <v>0</v>
      </c>
      <c r="BC66" s="25">
        <f t="shared" si="84"/>
        <v>0</v>
      </c>
      <c r="BD66" s="26">
        <f>VLOOKUP(B66,'Jan''26- Leave Bal'!$B$3:$D$83,3,0)</f>
        <v>0</v>
      </c>
      <c r="BE66" s="27">
        <v>0</v>
      </c>
      <c r="BF66" s="27">
        <v>0</v>
      </c>
      <c r="BG66" s="27">
        <v>0</v>
      </c>
      <c r="BH66" s="27">
        <f>VLOOKUP(B66,'Jan''26- Leave Bal'!$B$3:$H$83,7,0)</f>
        <v>0</v>
      </c>
      <c r="BI66" s="27">
        <v>0</v>
      </c>
      <c r="BJ66" s="28">
        <f t="shared" si="85"/>
        <v>0</v>
      </c>
      <c r="BK66" s="28">
        <f t="shared" si="86"/>
        <v>0</v>
      </c>
      <c r="BL66" s="28">
        <f t="shared" si="87"/>
        <v>0</v>
      </c>
      <c r="BM66" s="28">
        <f t="shared" si="88"/>
        <v>0</v>
      </c>
      <c r="BN66" s="28">
        <f t="shared" si="89"/>
        <v>0</v>
      </c>
      <c r="BO66" s="28">
        <f t="shared" si="90"/>
        <v>0</v>
      </c>
      <c r="BP66" s="28">
        <f t="shared" si="91"/>
        <v>0</v>
      </c>
      <c r="BQ66" s="26">
        <f t="shared" si="92"/>
        <v>0</v>
      </c>
      <c r="BR66" s="26">
        <f t="shared" si="93"/>
        <v>0</v>
      </c>
      <c r="BS66" s="26">
        <f t="shared" si="94"/>
        <v>0</v>
      </c>
      <c r="BT66" s="26">
        <f t="shared" si="95"/>
        <v>0</v>
      </c>
      <c r="BU66" s="26">
        <f t="shared" si="96"/>
        <v>0</v>
      </c>
      <c r="BW66" s="17">
        <v>0</v>
      </c>
    </row>
    <row r="67" spans="1:75" ht="12" x14ac:dyDescent="0.3">
      <c r="A67" s="18">
        <v>64</v>
      </c>
      <c r="B67" s="18" t="s">
        <v>207</v>
      </c>
      <c r="C67" s="45"/>
      <c r="D67" s="18" t="s">
        <v>208</v>
      </c>
      <c r="E67" s="18" t="s">
        <v>208</v>
      </c>
      <c r="F67" s="18" t="s">
        <v>208</v>
      </c>
      <c r="G67" s="18" t="s">
        <v>208</v>
      </c>
      <c r="H67" s="18">
        <v>9573104684</v>
      </c>
      <c r="I67" s="18" t="s">
        <v>209</v>
      </c>
      <c r="J67" s="20">
        <v>44426</v>
      </c>
      <c r="K67" s="21"/>
      <c r="L67" s="18" t="s">
        <v>22</v>
      </c>
      <c r="M67" s="18" t="s">
        <v>22</v>
      </c>
      <c r="N67" s="18" t="s">
        <v>22</v>
      </c>
      <c r="O67" s="18" t="s">
        <v>22</v>
      </c>
      <c r="P67" s="18" t="s">
        <v>22</v>
      </c>
      <c r="Q67" s="18" t="s">
        <v>22</v>
      </c>
      <c r="R67" s="18" t="s">
        <v>22</v>
      </c>
      <c r="S67" s="18" t="s">
        <v>22</v>
      </c>
      <c r="T67" s="18" t="s">
        <v>22</v>
      </c>
      <c r="U67" s="18" t="s">
        <v>22</v>
      </c>
      <c r="V67" s="18" t="s">
        <v>22</v>
      </c>
      <c r="W67" s="18" t="s">
        <v>22</v>
      </c>
      <c r="X67" s="18" t="s">
        <v>22</v>
      </c>
      <c r="Y67" s="18" t="s">
        <v>22</v>
      </c>
      <c r="Z67" s="18" t="s">
        <v>22</v>
      </c>
      <c r="AA67" s="18" t="s">
        <v>22</v>
      </c>
      <c r="AB67" s="18" t="s">
        <v>22</v>
      </c>
      <c r="AC67" s="18" t="s">
        <v>22</v>
      </c>
      <c r="AD67" s="18" t="s">
        <v>22</v>
      </c>
      <c r="AE67" s="18" t="s">
        <v>22</v>
      </c>
      <c r="AF67" s="18" t="s">
        <v>22</v>
      </c>
      <c r="AG67" s="18" t="s">
        <v>22</v>
      </c>
      <c r="AH67" s="18" t="s">
        <v>22</v>
      </c>
      <c r="AI67" s="18" t="s">
        <v>22</v>
      </c>
      <c r="AJ67" s="18" t="s">
        <v>22</v>
      </c>
      <c r="AK67" s="18" t="s">
        <v>22</v>
      </c>
      <c r="AL67" s="18" t="s">
        <v>22</v>
      </c>
      <c r="AM67" s="18" t="s">
        <v>22</v>
      </c>
      <c r="AN67" s="18">
        <f t="shared" si="80"/>
        <v>0</v>
      </c>
      <c r="AO67" s="18">
        <f t="shared" si="61"/>
        <v>0</v>
      </c>
      <c r="AP67" s="18">
        <f t="shared" si="62"/>
        <v>0</v>
      </c>
      <c r="AQ67" s="18">
        <f t="shared" si="72"/>
        <v>0</v>
      </c>
      <c r="AR67" s="18">
        <f t="shared" si="64"/>
        <v>0</v>
      </c>
      <c r="AS67" s="18">
        <f t="shared" si="73"/>
        <v>0</v>
      </c>
      <c r="AT67" s="18">
        <f t="shared" si="74"/>
        <v>28</v>
      </c>
      <c r="AU67" s="18">
        <f t="shared" si="75"/>
        <v>0</v>
      </c>
      <c r="AV67" s="18">
        <f t="shared" si="76"/>
        <v>0</v>
      </c>
      <c r="AW67" s="18">
        <f t="shared" si="77"/>
        <v>0</v>
      </c>
      <c r="AX67" s="18">
        <f t="shared" si="78"/>
        <v>0</v>
      </c>
      <c r="AY67" s="18">
        <f t="shared" si="79"/>
        <v>0</v>
      </c>
      <c r="AZ67" s="23">
        <f t="shared" si="81"/>
        <v>28</v>
      </c>
      <c r="BA67" s="18">
        <f t="shared" si="82"/>
        <v>28</v>
      </c>
      <c r="BB67" s="24">
        <f t="shared" si="83"/>
        <v>28</v>
      </c>
      <c r="BC67" s="25">
        <f t="shared" si="84"/>
        <v>0</v>
      </c>
      <c r="BD67" s="26">
        <f>VLOOKUP(B67,'Jan''26- Leave Bal'!$B$3:$D$83,3,0)</f>
        <v>0</v>
      </c>
      <c r="BE67" s="27">
        <v>0</v>
      </c>
      <c r="BF67" s="27">
        <v>0</v>
      </c>
      <c r="BG67" s="27">
        <v>0</v>
      </c>
      <c r="BH67" s="27">
        <f>VLOOKUP(B67,'Jan''26- Leave Bal'!$B$3:$H$83,7,0)</f>
        <v>0</v>
      </c>
      <c r="BI67" s="27">
        <v>0</v>
      </c>
      <c r="BJ67" s="28">
        <f t="shared" si="85"/>
        <v>0</v>
      </c>
      <c r="BK67" s="28">
        <f t="shared" si="86"/>
        <v>0</v>
      </c>
      <c r="BL67" s="28">
        <f t="shared" si="87"/>
        <v>0</v>
      </c>
      <c r="BM67" s="28">
        <f t="shared" si="88"/>
        <v>0</v>
      </c>
      <c r="BN67" s="28">
        <f t="shared" si="89"/>
        <v>0</v>
      </c>
      <c r="BO67" s="28">
        <f t="shared" si="90"/>
        <v>0</v>
      </c>
      <c r="BP67" s="28">
        <f t="shared" si="91"/>
        <v>0</v>
      </c>
      <c r="BQ67" s="26">
        <f t="shared" si="92"/>
        <v>0</v>
      </c>
      <c r="BR67" s="26">
        <f t="shared" si="93"/>
        <v>0</v>
      </c>
      <c r="BS67" s="26">
        <f t="shared" si="94"/>
        <v>0</v>
      </c>
      <c r="BT67" s="26">
        <f t="shared" si="95"/>
        <v>0</v>
      </c>
      <c r="BU67" s="26">
        <f t="shared" si="96"/>
        <v>0</v>
      </c>
      <c r="BW67" s="17">
        <v>0</v>
      </c>
    </row>
    <row r="68" spans="1:75" ht="12" x14ac:dyDescent="0.3">
      <c r="A68" s="18">
        <v>65</v>
      </c>
      <c r="B68" s="18" t="s">
        <v>210</v>
      </c>
      <c r="C68" s="45"/>
      <c r="D68" s="18" t="s">
        <v>208</v>
      </c>
      <c r="E68" s="18" t="s">
        <v>208</v>
      </c>
      <c r="F68" s="18" t="s">
        <v>208</v>
      </c>
      <c r="G68" s="18" t="s">
        <v>208</v>
      </c>
      <c r="H68" s="18">
        <v>6301292902</v>
      </c>
      <c r="I68" s="18" t="s">
        <v>211</v>
      </c>
      <c r="J68" s="20">
        <v>44522</v>
      </c>
      <c r="K68" s="21"/>
      <c r="L68" s="18" t="s">
        <v>22</v>
      </c>
      <c r="M68" s="18" t="s">
        <v>22</v>
      </c>
      <c r="N68" s="18" t="s">
        <v>22</v>
      </c>
      <c r="O68" s="18" t="s">
        <v>22</v>
      </c>
      <c r="P68" s="18" t="s">
        <v>22</v>
      </c>
      <c r="Q68" s="18" t="s">
        <v>22</v>
      </c>
      <c r="R68" s="18" t="s">
        <v>22</v>
      </c>
      <c r="S68" s="18" t="s">
        <v>22</v>
      </c>
      <c r="T68" s="18" t="s">
        <v>22</v>
      </c>
      <c r="U68" s="18" t="s">
        <v>22</v>
      </c>
      <c r="V68" s="18" t="s">
        <v>22</v>
      </c>
      <c r="W68" s="18" t="s">
        <v>22</v>
      </c>
      <c r="X68" s="18" t="s">
        <v>22</v>
      </c>
      <c r="Y68" s="18" t="s">
        <v>22</v>
      </c>
      <c r="Z68" s="18" t="s">
        <v>22</v>
      </c>
      <c r="AA68" s="18" t="s">
        <v>22</v>
      </c>
      <c r="AB68" s="18" t="s">
        <v>22</v>
      </c>
      <c r="AC68" s="18" t="s">
        <v>22</v>
      </c>
      <c r="AD68" s="18" t="s">
        <v>22</v>
      </c>
      <c r="AE68" s="18" t="s">
        <v>22</v>
      </c>
      <c r="AF68" s="18" t="s">
        <v>22</v>
      </c>
      <c r="AG68" s="18" t="s">
        <v>22</v>
      </c>
      <c r="AH68" s="18" t="s">
        <v>22</v>
      </c>
      <c r="AI68" s="18" t="s">
        <v>22</v>
      </c>
      <c r="AJ68" s="18" t="s">
        <v>22</v>
      </c>
      <c r="AK68" s="18" t="s">
        <v>22</v>
      </c>
      <c r="AL68" s="18" t="s">
        <v>22</v>
      </c>
      <c r="AM68" s="18" t="s">
        <v>22</v>
      </c>
      <c r="AN68" s="18">
        <f t="shared" si="80"/>
        <v>0</v>
      </c>
      <c r="AO68" s="18">
        <f t="shared" si="61"/>
        <v>0</v>
      </c>
      <c r="AP68" s="18">
        <f t="shared" si="62"/>
        <v>0</v>
      </c>
      <c r="AQ68" s="18">
        <f t="shared" si="72"/>
        <v>0</v>
      </c>
      <c r="AR68" s="18">
        <f t="shared" si="64"/>
        <v>0</v>
      </c>
      <c r="AS68" s="18">
        <f t="shared" si="73"/>
        <v>0</v>
      </c>
      <c r="AT68" s="18">
        <f t="shared" si="74"/>
        <v>28</v>
      </c>
      <c r="AU68" s="18">
        <f t="shared" si="75"/>
        <v>0</v>
      </c>
      <c r="AV68" s="18">
        <f t="shared" si="76"/>
        <v>0</v>
      </c>
      <c r="AW68" s="18">
        <f t="shared" si="77"/>
        <v>0</v>
      </c>
      <c r="AX68" s="18">
        <f t="shared" si="78"/>
        <v>0</v>
      </c>
      <c r="AY68" s="18">
        <f t="shared" si="79"/>
        <v>0</v>
      </c>
      <c r="AZ68" s="23">
        <f t="shared" si="81"/>
        <v>28</v>
      </c>
      <c r="BA68" s="18">
        <f t="shared" si="82"/>
        <v>28</v>
      </c>
      <c r="BB68" s="24">
        <f t="shared" si="83"/>
        <v>28</v>
      </c>
      <c r="BC68" s="25">
        <f t="shared" si="84"/>
        <v>0</v>
      </c>
      <c r="BD68" s="26">
        <f>VLOOKUP(B68,'Jan''26- Leave Bal'!$B$3:$D$83,3,0)</f>
        <v>0</v>
      </c>
      <c r="BE68" s="27">
        <v>0</v>
      </c>
      <c r="BF68" s="27">
        <v>0</v>
      </c>
      <c r="BG68" s="27">
        <v>0</v>
      </c>
      <c r="BH68" s="27">
        <f>VLOOKUP(B68,'Jan''26- Leave Bal'!$B$3:$H$83,7,0)</f>
        <v>0</v>
      </c>
      <c r="BI68" s="27">
        <v>0</v>
      </c>
      <c r="BJ68" s="28">
        <f t="shared" si="85"/>
        <v>0</v>
      </c>
      <c r="BK68" s="28">
        <f t="shared" si="86"/>
        <v>0</v>
      </c>
      <c r="BL68" s="28">
        <f t="shared" si="87"/>
        <v>0</v>
      </c>
      <c r="BM68" s="28">
        <f t="shared" si="88"/>
        <v>0</v>
      </c>
      <c r="BN68" s="28">
        <f t="shared" si="89"/>
        <v>0</v>
      </c>
      <c r="BO68" s="28">
        <f t="shared" si="90"/>
        <v>0</v>
      </c>
      <c r="BP68" s="28">
        <f t="shared" si="91"/>
        <v>0</v>
      </c>
      <c r="BQ68" s="26">
        <f t="shared" si="92"/>
        <v>0</v>
      </c>
      <c r="BR68" s="26">
        <f t="shared" si="93"/>
        <v>0</v>
      </c>
      <c r="BS68" s="26">
        <f t="shared" si="94"/>
        <v>0</v>
      </c>
      <c r="BT68" s="26">
        <f t="shared" si="95"/>
        <v>0</v>
      </c>
      <c r="BU68" s="26">
        <f t="shared" si="96"/>
        <v>0</v>
      </c>
      <c r="BW68" s="17">
        <v>0</v>
      </c>
    </row>
    <row r="69" spans="1:75" ht="12" x14ac:dyDescent="0.3">
      <c r="A69" s="18">
        <v>66</v>
      </c>
      <c r="B69" s="18" t="s">
        <v>212</v>
      </c>
      <c r="C69" s="45"/>
      <c r="D69" s="18" t="s">
        <v>213</v>
      </c>
      <c r="E69" s="18" t="s">
        <v>208</v>
      </c>
      <c r="F69" s="18" t="s">
        <v>208</v>
      </c>
      <c r="G69" s="18" t="s">
        <v>208</v>
      </c>
      <c r="H69" s="23">
        <v>8179087488</v>
      </c>
      <c r="I69" s="18" t="s">
        <v>214</v>
      </c>
      <c r="J69" s="26"/>
      <c r="K69" s="26"/>
      <c r="L69" s="18" t="s">
        <v>22</v>
      </c>
      <c r="M69" s="18" t="s">
        <v>22</v>
      </c>
      <c r="N69" s="18" t="s">
        <v>22</v>
      </c>
      <c r="O69" s="18" t="s">
        <v>22</v>
      </c>
      <c r="P69" s="18" t="s">
        <v>22</v>
      </c>
      <c r="Q69" s="18" t="s">
        <v>22</v>
      </c>
      <c r="R69" s="18" t="s">
        <v>22</v>
      </c>
      <c r="S69" s="18" t="s">
        <v>22</v>
      </c>
      <c r="T69" s="18" t="s">
        <v>22</v>
      </c>
      <c r="U69" s="18" t="s">
        <v>22</v>
      </c>
      <c r="V69" s="18" t="s">
        <v>22</v>
      </c>
      <c r="W69" s="18" t="s">
        <v>22</v>
      </c>
      <c r="X69" s="18" t="s">
        <v>22</v>
      </c>
      <c r="Y69" s="18" t="s">
        <v>22</v>
      </c>
      <c r="Z69" s="18" t="s">
        <v>22</v>
      </c>
      <c r="AA69" s="18" t="s">
        <v>22</v>
      </c>
      <c r="AB69" s="18" t="s">
        <v>22</v>
      </c>
      <c r="AC69" s="18" t="s">
        <v>22</v>
      </c>
      <c r="AD69" s="18" t="s">
        <v>22</v>
      </c>
      <c r="AE69" s="18" t="s">
        <v>22</v>
      </c>
      <c r="AF69" s="18" t="s">
        <v>22</v>
      </c>
      <c r="AG69" s="18" t="s">
        <v>22</v>
      </c>
      <c r="AH69" s="18" t="s">
        <v>22</v>
      </c>
      <c r="AI69" s="18" t="s">
        <v>22</v>
      </c>
      <c r="AJ69" s="18" t="s">
        <v>22</v>
      </c>
      <c r="AK69" s="18" t="s">
        <v>22</v>
      </c>
      <c r="AL69" s="18" t="s">
        <v>22</v>
      </c>
      <c r="AM69" s="18" t="s">
        <v>22</v>
      </c>
      <c r="AN69" s="18">
        <f t="shared" si="80"/>
        <v>0</v>
      </c>
      <c r="AO69" s="18">
        <f t="shared" si="61"/>
        <v>0</v>
      </c>
      <c r="AP69" s="18">
        <f t="shared" si="62"/>
        <v>0</v>
      </c>
      <c r="AQ69" s="18">
        <f t="shared" si="72"/>
        <v>0</v>
      </c>
      <c r="AR69" s="18">
        <f t="shared" si="64"/>
        <v>0</v>
      </c>
      <c r="AS69" s="18">
        <f t="shared" si="73"/>
        <v>0</v>
      </c>
      <c r="AT69" s="18">
        <f t="shared" si="74"/>
        <v>28</v>
      </c>
      <c r="AU69" s="18">
        <f t="shared" si="75"/>
        <v>0</v>
      </c>
      <c r="AV69" s="18">
        <f t="shared" si="76"/>
        <v>0</v>
      </c>
      <c r="AW69" s="18">
        <f t="shared" si="77"/>
        <v>0</v>
      </c>
      <c r="AX69" s="18">
        <f t="shared" si="78"/>
        <v>0</v>
      </c>
      <c r="AY69" s="18">
        <f t="shared" si="79"/>
        <v>0</v>
      </c>
      <c r="AZ69" s="23">
        <f t="shared" si="81"/>
        <v>28</v>
      </c>
      <c r="BA69" s="18">
        <f t="shared" si="82"/>
        <v>28</v>
      </c>
      <c r="BB69" s="24">
        <f t="shared" si="83"/>
        <v>28</v>
      </c>
      <c r="BC69" s="25">
        <f t="shared" si="84"/>
        <v>0</v>
      </c>
      <c r="BD69" s="26">
        <f>VLOOKUP(B69,'Jan''26- Leave Bal'!$B$3:$D$83,3,0)</f>
        <v>0</v>
      </c>
      <c r="BE69" s="27">
        <v>0</v>
      </c>
      <c r="BF69" s="27">
        <v>0</v>
      </c>
      <c r="BG69" s="27">
        <v>0</v>
      </c>
      <c r="BH69" s="27">
        <v>0</v>
      </c>
      <c r="BI69" s="27">
        <v>0</v>
      </c>
      <c r="BJ69" s="28">
        <f t="shared" si="85"/>
        <v>0</v>
      </c>
      <c r="BK69" s="28">
        <f t="shared" si="86"/>
        <v>0</v>
      </c>
      <c r="BL69" s="28">
        <f t="shared" si="87"/>
        <v>0</v>
      </c>
      <c r="BM69" s="28">
        <f t="shared" si="88"/>
        <v>0</v>
      </c>
      <c r="BN69" s="28">
        <f t="shared" si="89"/>
        <v>0</v>
      </c>
      <c r="BO69" s="28">
        <f t="shared" si="90"/>
        <v>0</v>
      </c>
      <c r="BP69" s="28">
        <f t="shared" si="91"/>
        <v>0</v>
      </c>
      <c r="BQ69" s="26">
        <f t="shared" si="92"/>
        <v>0</v>
      </c>
      <c r="BR69" s="26">
        <f t="shared" si="93"/>
        <v>0</v>
      </c>
      <c r="BS69" s="26">
        <f t="shared" si="94"/>
        <v>0</v>
      </c>
      <c r="BT69" s="26">
        <f t="shared" si="95"/>
        <v>0</v>
      </c>
      <c r="BU69" s="26">
        <f t="shared" si="96"/>
        <v>0</v>
      </c>
      <c r="BW69" s="17">
        <v>0</v>
      </c>
    </row>
    <row r="70" spans="1:75" ht="12" x14ac:dyDescent="0.3">
      <c r="A70" s="18">
        <v>67</v>
      </c>
      <c r="B70" s="18" t="s">
        <v>215</v>
      </c>
      <c r="C70" s="45"/>
      <c r="D70" s="23" t="s">
        <v>216</v>
      </c>
      <c r="E70" s="23" t="s">
        <v>216</v>
      </c>
      <c r="F70" s="23" t="s">
        <v>216</v>
      </c>
      <c r="G70" s="23" t="s">
        <v>77</v>
      </c>
      <c r="H70" s="23">
        <v>6281755721</v>
      </c>
      <c r="I70" s="18" t="s">
        <v>217</v>
      </c>
      <c r="J70" s="26"/>
      <c r="K70" s="26"/>
      <c r="L70" s="22" t="s">
        <v>17</v>
      </c>
      <c r="M70" s="18" t="s">
        <v>62</v>
      </c>
      <c r="N70" s="18" t="s">
        <v>62</v>
      </c>
      <c r="O70" s="18" t="s">
        <v>62</v>
      </c>
      <c r="P70" s="18" t="s">
        <v>62</v>
      </c>
      <c r="Q70" s="18" t="s">
        <v>62</v>
      </c>
      <c r="R70" s="22" t="s">
        <v>17</v>
      </c>
      <c r="S70" s="22" t="s">
        <v>17</v>
      </c>
      <c r="T70" s="18" t="s">
        <v>62</v>
      </c>
      <c r="U70" s="18" t="s">
        <v>62</v>
      </c>
      <c r="V70" s="22" t="s">
        <v>62</v>
      </c>
      <c r="W70" s="22" t="s">
        <v>62</v>
      </c>
      <c r="X70" s="18" t="s">
        <v>62</v>
      </c>
      <c r="Y70" s="22" t="s">
        <v>17</v>
      </c>
      <c r="Z70" s="22" t="s">
        <v>17</v>
      </c>
      <c r="AA70" s="18" t="s">
        <v>20</v>
      </c>
      <c r="AB70" s="18" t="s">
        <v>62</v>
      </c>
      <c r="AC70" s="22" t="s">
        <v>18</v>
      </c>
      <c r="AD70" s="18" t="s">
        <v>18</v>
      </c>
      <c r="AE70" s="18" t="s">
        <v>62</v>
      </c>
      <c r="AF70" s="18" t="s">
        <v>17</v>
      </c>
      <c r="AG70" s="18" t="s">
        <v>17</v>
      </c>
      <c r="AH70" s="18" t="s">
        <v>62</v>
      </c>
      <c r="AI70" s="18" t="s">
        <v>18</v>
      </c>
      <c r="AJ70" s="18" t="s">
        <v>18</v>
      </c>
      <c r="AK70" s="18" t="s">
        <v>62</v>
      </c>
      <c r="AL70" s="18" t="s">
        <v>62</v>
      </c>
      <c r="AM70" s="18" t="s">
        <v>17</v>
      </c>
      <c r="AN70" s="18">
        <f t="shared" si="0"/>
        <v>15</v>
      </c>
      <c r="AO70" s="18">
        <f t="shared" ref="AO70:AO84" si="97">COUNTIF(L70:AM70,"W/O")</f>
        <v>8</v>
      </c>
      <c r="AP70" s="18">
        <f t="shared" ref="AP70:AP84" si="98">COUNTIF(L70:AM70,"L")</f>
        <v>4</v>
      </c>
      <c r="AQ70" s="18">
        <f t="shared" ref="AQ70:AQ84" si="99">COUNTIF(L70:AM70,"HFL")/2</f>
        <v>0</v>
      </c>
      <c r="AR70" s="18">
        <f t="shared" ref="AR70:AR84" si="100">COUNTIF(L70:AM70,"H")</f>
        <v>1</v>
      </c>
      <c r="AS70" s="18">
        <f t="shared" ref="AS70:AS84" si="101">COUNTIF(L70:AM70,"MG")</f>
        <v>0</v>
      </c>
      <c r="AT70" s="18">
        <f t="shared" ref="AT70:AT84" si="102">COUNTIF(L70:AM70,"ML")</f>
        <v>0</v>
      </c>
      <c r="AU70" s="18">
        <f t="shared" ref="AU70:AU84" si="103">COUNTIF(L70:AM70,"UL")</f>
        <v>0</v>
      </c>
      <c r="AV70" s="18">
        <f t="shared" ref="AV70:AV84" si="104">COUNTIF(L70:AM70,"MC")</f>
        <v>0</v>
      </c>
      <c r="AW70" s="18">
        <f t="shared" ref="AW70:AW84" si="105">COUNTIF(L70:AM70,"BL")</f>
        <v>0</v>
      </c>
      <c r="AX70" s="18">
        <f t="shared" ref="AX70:AX84" si="106">COUNTIF(L70:AM70,"MDL")</f>
        <v>0</v>
      </c>
      <c r="AY70" s="18">
        <f t="shared" ref="AY70:AY84" si="107">COUNTIF(L70:AM70,"LOP")</f>
        <v>0</v>
      </c>
      <c r="AZ70" s="23">
        <f t="shared" si="12"/>
        <v>28</v>
      </c>
      <c r="BA70" s="18">
        <f t="shared" si="13"/>
        <v>19</v>
      </c>
      <c r="BB70" s="24">
        <f t="shared" si="14"/>
        <v>28</v>
      </c>
      <c r="BC70" s="25">
        <f t="shared" si="15"/>
        <v>0.78947368421052633</v>
      </c>
      <c r="BD70" s="26">
        <f>VLOOKUP(B70,'Jan''26- Leave Bal'!$B$3:$D$83,3,0)</f>
        <v>0</v>
      </c>
      <c r="BE70" s="27">
        <f>VLOOKUP(B70,'Jan''26- Leave Bal'!$B$3:$E$83,4,0)+$BE$3</f>
        <v>0.5</v>
      </c>
      <c r="BF70" s="27">
        <f>VLOOKUP(B70,'Jan''26- Leave Bal'!$B$3:$F$83,5,0)+$BF$3</f>
        <v>0.5</v>
      </c>
      <c r="BG70" s="27">
        <f>VLOOKUP(B70,'Jan''26- Leave Bal'!$B$3:$G$83,6,0)+$BG$3</f>
        <v>3</v>
      </c>
      <c r="BH70" s="27">
        <f>VLOOKUP(B70,'Jan''26- Leave Bal'!$B$3:$H$83,7,0)</f>
        <v>15</v>
      </c>
      <c r="BI70" s="27">
        <f>VLOOKUP(B70,'Jan''26- Leave Bal'!$B$3:$I$83,8,0)+$BI$3</f>
        <v>0.75</v>
      </c>
      <c r="BJ70" s="28">
        <f t="shared" si="16"/>
        <v>0</v>
      </c>
      <c r="BK70" s="28">
        <f t="shared" si="17"/>
        <v>0.5</v>
      </c>
      <c r="BL70" s="28">
        <f t="shared" si="18"/>
        <v>0.5</v>
      </c>
      <c r="BM70" s="28">
        <f t="shared" si="19"/>
        <v>3</v>
      </c>
      <c r="BN70" s="28">
        <f t="shared" si="20"/>
        <v>0</v>
      </c>
      <c r="BO70" s="28">
        <f t="shared" si="21"/>
        <v>0</v>
      </c>
      <c r="BP70" s="28">
        <f t="shared" ref="BP70:BT70" si="108">BD70-BJ70</f>
        <v>0</v>
      </c>
      <c r="BQ70" s="26">
        <f t="shared" si="108"/>
        <v>0</v>
      </c>
      <c r="BR70" s="26">
        <f t="shared" si="108"/>
        <v>0</v>
      </c>
      <c r="BS70" s="26">
        <f t="shared" si="108"/>
        <v>0</v>
      </c>
      <c r="BT70" s="26">
        <f t="shared" si="108"/>
        <v>15</v>
      </c>
      <c r="BU70" s="26">
        <f t="shared" si="23"/>
        <v>0.75</v>
      </c>
      <c r="BW70" s="17">
        <v>0</v>
      </c>
    </row>
    <row r="71" spans="1:75" ht="12" x14ac:dyDescent="0.3">
      <c r="A71" s="18">
        <v>68</v>
      </c>
      <c r="B71" s="41" t="s">
        <v>218</v>
      </c>
      <c r="C71" s="49"/>
      <c r="D71" s="18" t="s">
        <v>219</v>
      </c>
      <c r="E71" s="19" t="s">
        <v>58</v>
      </c>
      <c r="F71" s="18" t="s">
        <v>59</v>
      </c>
      <c r="G71" s="19" t="s">
        <v>77</v>
      </c>
      <c r="H71" s="18" t="s">
        <v>220</v>
      </c>
      <c r="I71" s="18" t="s">
        <v>221</v>
      </c>
      <c r="J71" s="20">
        <v>44845</v>
      </c>
      <c r="K71" s="29">
        <v>46076</v>
      </c>
      <c r="L71" s="22" t="s">
        <v>17</v>
      </c>
      <c r="M71" s="18" t="s">
        <v>19</v>
      </c>
      <c r="N71" s="18" t="s">
        <v>18</v>
      </c>
      <c r="O71" s="18" t="s">
        <v>62</v>
      </c>
      <c r="P71" s="22" t="s">
        <v>62</v>
      </c>
      <c r="Q71" s="18" t="s">
        <v>62</v>
      </c>
      <c r="R71" s="18" t="s">
        <v>18</v>
      </c>
      <c r="S71" s="22" t="s">
        <v>17</v>
      </c>
      <c r="T71" s="18" t="s">
        <v>62</v>
      </c>
      <c r="U71" s="18" t="s">
        <v>62</v>
      </c>
      <c r="V71" s="18" t="s">
        <v>18</v>
      </c>
      <c r="W71" s="18" t="s">
        <v>18</v>
      </c>
      <c r="X71" s="18" t="s">
        <v>62</v>
      </c>
      <c r="Y71" s="18" t="s">
        <v>62</v>
      </c>
      <c r="Z71" s="22" t="s">
        <v>17</v>
      </c>
      <c r="AA71" s="18" t="s">
        <v>18</v>
      </c>
      <c r="AB71" s="18" t="s">
        <v>18</v>
      </c>
      <c r="AC71" s="18" t="s">
        <v>62</v>
      </c>
      <c r="AD71" s="18" t="s">
        <v>18</v>
      </c>
      <c r="AE71" s="18" t="s">
        <v>18</v>
      </c>
      <c r="AF71" s="18" t="s">
        <v>18</v>
      </c>
      <c r="AG71" s="18" t="s">
        <v>18</v>
      </c>
      <c r="AH71" s="18" t="s">
        <v>18</v>
      </c>
      <c r="AI71" s="18" t="s">
        <v>222</v>
      </c>
      <c r="AJ71" s="18" t="s">
        <v>222</v>
      </c>
      <c r="AK71" s="18" t="s">
        <v>222</v>
      </c>
      <c r="AL71" s="18" t="s">
        <v>222</v>
      </c>
      <c r="AM71" s="18" t="s">
        <v>222</v>
      </c>
      <c r="AN71" s="18">
        <f t="shared" si="0"/>
        <v>8.5</v>
      </c>
      <c r="AO71" s="18">
        <f t="shared" si="97"/>
        <v>3</v>
      </c>
      <c r="AP71" s="18">
        <f t="shared" si="98"/>
        <v>11</v>
      </c>
      <c r="AQ71" s="18">
        <f t="shared" si="99"/>
        <v>0.5</v>
      </c>
      <c r="AR71" s="18">
        <f t="shared" si="100"/>
        <v>0</v>
      </c>
      <c r="AS71" s="18">
        <f t="shared" si="101"/>
        <v>0</v>
      </c>
      <c r="AT71" s="18">
        <f t="shared" si="102"/>
        <v>0</v>
      </c>
      <c r="AU71" s="18">
        <f t="shared" si="103"/>
        <v>0</v>
      </c>
      <c r="AV71" s="18">
        <f t="shared" si="104"/>
        <v>0</v>
      </c>
      <c r="AW71" s="18">
        <f t="shared" si="105"/>
        <v>0</v>
      </c>
      <c r="AX71" s="18">
        <f t="shared" si="106"/>
        <v>0</v>
      </c>
      <c r="AY71" s="18">
        <f t="shared" si="107"/>
        <v>0</v>
      </c>
      <c r="AZ71" s="23">
        <f t="shared" si="12"/>
        <v>23</v>
      </c>
      <c r="BA71" s="18">
        <f t="shared" si="13"/>
        <v>20</v>
      </c>
      <c r="BB71" s="24">
        <f t="shared" si="14"/>
        <v>13.5</v>
      </c>
      <c r="BC71" s="25">
        <f t="shared" si="15"/>
        <v>0.42499999999999999</v>
      </c>
      <c r="BD71" s="26">
        <f>VLOOKUP(B71,'Jan''26- Leave Bal'!$B$3:$D$83,3,0)</f>
        <v>0</v>
      </c>
      <c r="BE71" s="27">
        <f>VLOOKUP(B71,'Jan''26- Leave Bal'!$B$3:$E$83,4,0)+$BE$3</f>
        <v>0.5</v>
      </c>
      <c r="BF71" s="27">
        <f>VLOOKUP(B71,'Jan''26- Leave Bal'!$B$3:$F$83,5,0)+$BF$3</f>
        <v>0.5</v>
      </c>
      <c r="BG71" s="27">
        <f>VLOOKUP(B71,'Jan''26- Leave Bal'!$B$3:$G$83,6,0)+$BG$3</f>
        <v>1</v>
      </c>
      <c r="BH71" s="27">
        <f>VLOOKUP(B71,'Jan''26- Leave Bal'!$B$3:$H$83,7,0)</f>
        <v>0</v>
      </c>
      <c r="BI71" s="27">
        <f>VLOOKUP(B71,'Jan''26- Leave Bal'!$B$3:$I$83,8,0)+$BI$3</f>
        <v>0.75</v>
      </c>
      <c r="BJ71" s="28">
        <f t="shared" si="16"/>
        <v>0</v>
      </c>
      <c r="BK71" s="28">
        <f t="shared" si="17"/>
        <v>0.5</v>
      </c>
      <c r="BL71" s="28">
        <f t="shared" si="18"/>
        <v>0.5</v>
      </c>
      <c r="BM71" s="28">
        <f t="shared" si="19"/>
        <v>1</v>
      </c>
      <c r="BN71" s="28">
        <f t="shared" si="20"/>
        <v>0</v>
      </c>
      <c r="BO71" s="28">
        <f t="shared" si="21"/>
        <v>9.5</v>
      </c>
      <c r="BP71" s="28">
        <f t="shared" ref="BP71:BT71" si="109">BD71-BJ71</f>
        <v>0</v>
      </c>
      <c r="BQ71" s="26">
        <f t="shared" si="109"/>
        <v>0</v>
      </c>
      <c r="BR71" s="26">
        <f t="shared" si="109"/>
        <v>0</v>
      </c>
      <c r="BS71" s="26">
        <f t="shared" si="109"/>
        <v>0</v>
      </c>
      <c r="BT71" s="26">
        <f t="shared" si="109"/>
        <v>0</v>
      </c>
      <c r="BU71" s="26">
        <f t="shared" si="23"/>
        <v>0.75</v>
      </c>
      <c r="BW71" s="17">
        <v>0</v>
      </c>
    </row>
    <row r="72" spans="1:75" ht="12" x14ac:dyDescent="0.3">
      <c r="A72" s="18">
        <v>69</v>
      </c>
      <c r="B72" s="18" t="s">
        <v>223</v>
      </c>
      <c r="C72" s="50"/>
      <c r="D72" s="18" t="s">
        <v>219</v>
      </c>
      <c r="E72" s="19" t="s">
        <v>58</v>
      </c>
      <c r="F72" s="18" t="s">
        <v>59</v>
      </c>
      <c r="G72" s="18" t="s">
        <v>60</v>
      </c>
      <c r="H72" s="18" t="s">
        <v>224</v>
      </c>
      <c r="I72" s="18" t="s">
        <v>225</v>
      </c>
      <c r="J72" s="29">
        <v>44342</v>
      </c>
      <c r="K72" s="29">
        <v>46072</v>
      </c>
      <c r="L72" s="22" t="s">
        <v>17</v>
      </c>
      <c r="M72" s="18" t="s">
        <v>62</v>
      </c>
      <c r="N72" s="18" t="s">
        <v>62</v>
      </c>
      <c r="O72" s="22" t="s">
        <v>62</v>
      </c>
      <c r="P72" s="18" t="s">
        <v>62</v>
      </c>
      <c r="Q72" s="18" t="s">
        <v>62</v>
      </c>
      <c r="R72" s="18" t="s">
        <v>62</v>
      </c>
      <c r="S72" s="22" t="s">
        <v>17</v>
      </c>
      <c r="T72" s="64" t="s">
        <v>18</v>
      </c>
      <c r="U72" s="18" t="s">
        <v>62</v>
      </c>
      <c r="V72" s="18" t="s">
        <v>62</v>
      </c>
      <c r="W72" s="22" t="s">
        <v>62</v>
      </c>
      <c r="X72" s="18" t="s">
        <v>62</v>
      </c>
      <c r="Y72" s="22" t="s">
        <v>17</v>
      </c>
      <c r="Z72" s="22" t="s">
        <v>62</v>
      </c>
      <c r="AA72" s="18" t="s">
        <v>62</v>
      </c>
      <c r="AB72" s="18" t="s">
        <v>62</v>
      </c>
      <c r="AC72" s="18" t="s">
        <v>62</v>
      </c>
      <c r="AD72" s="18" t="s">
        <v>62</v>
      </c>
      <c r="AE72" s="18" t="s">
        <v>222</v>
      </c>
      <c r="AF72" s="18" t="s">
        <v>222</v>
      </c>
      <c r="AG72" s="18" t="s">
        <v>222</v>
      </c>
      <c r="AH72" s="18" t="s">
        <v>222</v>
      </c>
      <c r="AI72" s="18" t="s">
        <v>222</v>
      </c>
      <c r="AJ72" s="18" t="s">
        <v>222</v>
      </c>
      <c r="AK72" s="18" t="s">
        <v>222</v>
      </c>
      <c r="AL72" s="18" t="s">
        <v>222</v>
      </c>
      <c r="AM72" s="18" t="s">
        <v>222</v>
      </c>
      <c r="AN72" s="18">
        <f t="shared" si="0"/>
        <v>15</v>
      </c>
      <c r="AO72" s="18">
        <f t="shared" si="97"/>
        <v>3</v>
      </c>
      <c r="AP72" s="18">
        <f t="shared" si="98"/>
        <v>1</v>
      </c>
      <c r="AQ72" s="18">
        <f t="shared" si="99"/>
        <v>0</v>
      </c>
      <c r="AR72" s="18">
        <f t="shared" si="100"/>
        <v>0</v>
      </c>
      <c r="AS72" s="18">
        <f t="shared" si="101"/>
        <v>0</v>
      </c>
      <c r="AT72" s="18">
        <f t="shared" si="102"/>
        <v>0</v>
      </c>
      <c r="AU72" s="18">
        <f t="shared" si="103"/>
        <v>0</v>
      </c>
      <c r="AV72" s="18">
        <f t="shared" si="104"/>
        <v>0</v>
      </c>
      <c r="AW72" s="18">
        <f t="shared" si="105"/>
        <v>0</v>
      </c>
      <c r="AX72" s="18">
        <f t="shared" si="106"/>
        <v>0</v>
      </c>
      <c r="AY72" s="18">
        <f t="shared" si="107"/>
        <v>0</v>
      </c>
      <c r="AZ72" s="23">
        <f t="shared" si="12"/>
        <v>19</v>
      </c>
      <c r="BA72" s="18">
        <f t="shared" si="13"/>
        <v>16</v>
      </c>
      <c r="BB72" s="24">
        <f t="shared" si="14"/>
        <v>19</v>
      </c>
      <c r="BC72" s="25">
        <f t="shared" si="15"/>
        <v>0.9375</v>
      </c>
      <c r="BD72" s="26">
        <f>VLOOKUP(B72,'Jan''26- Leave Bal'!$B$3:$D$83,3,0)</f>
        <v>0</v>
      </c>
      <c r="BE72" s="27">
        <f>VLOOKUP(B72,'Jan''26- Leave Bal'!$B$3:$E$83,4,0)+$BE$3</f>
        <v>0.5</v>
      </c>
      <c r="BF72" s="27">
        <f>VLOOKUP(B72,'Jan''26- Leave Bal'!$B$3:$F$83,5,0)+$BF$3</f>
        <v>0.5</v>
      </c>
      <c r="BG72" s="27">
        <f>VLOOKUP(B72,'Jan''26- Leave Bal'!$B$3:$G$83,6,0)+$BG$3</f>
        <v>1</v>
      </c>
      <c r="BH72" s="27">
        <f>VLOOKUP(B72,'Jan''26- Leave Bal'!$B$3:$H$83,7,0)</f>
        <v>15</v>
      </c>
      <c r="BI72" s="27">
        <f>VLOOKUP(B72,'Jan''26- Leave Bal'!$B$3:$I$83,8,0)+$BI$3</f>
        <v>0.75</v>
      </c>
      <c r="BJ72" s="28">
        <f t="shared" si="16"/>
        <v>0</v>
      </c>
      <c r="BK72" s="28">
        <f t="shared" si="17"/>
        <v>0.5</v>
      </c>
      <c r="BL72" s="28">
        <f t="shared" si="18"/>
        <v>0.5</v>
      </c>
      <c r="BM72" s="28">
        <f t="shared" si="19"/>
        <v>0</v>
      </c>
      <c r="BN72" s="28">
        <f t="shared" si="20"/>
        <v>0</v>
      </c>
      <c r="BO72" s="28">
        <f t="shared" si="21"/>
        <v>0</v>
      </c>
      <c r="BP72" s="28">
        <f t="shared" ref="BP72:BT72" si="110">BD72-BJ72</f>
        <v>0</v>
      </c>
      <c r="BQ72" s="26">
        <f t="shared" si="110"/>
        <v>0</v>
      </c>
      <c r="BR72" s="26">
        <f t="shared" si="110"/>
        <v>0</v>
      </c>
      <c r="BS72" s="26">
        <f t="shared" si="110"/>
        <v>1</v>
      </c>
      <c r="BT72" s="26">
        <f t="shared" si="110"/>
        <v>15</v>
      </c>
      <c r="BU72" s="26">
        <f t="shared" si="23"/>
        <v>0.75</v>
      </c>
      <c r="BW72" s="17">
        <v>0</v>
      </c>
    </row>
    <row r="73" spans="1:75" ht="12" x14ac:dyDescent="0.3">
      <c r="A73" s="18">
        <v>70</v>
      </c>
      <c r="B73" s="18" t="s">
        <v>226</v>
      </c>
      <c r="C73" s="50"/>
      <c r="D73" s="18" t="s">
        <v>219</v>
      </c>
      <c r="E73" s="19" t="s">
        <v>58</v>
      </c>
      <c r="F73" s="18" t="s">
        <v>59</v>
      </c>
      <c r="G73" s="18" t="s">
        <v>60</v>
      </c>
      <c r="H73" s="18">
        <v>9908191902</v>
      </c>
      <c r="I73" s="18" t="s">
        <v>227</v>
      </c>
      <c r="J73" s="20">
        <v>44431</v>
      </c>
      <c r="K73" s="29">
        <v>46073</v>
      </c>
      <c r="L73" s="22" t="s">
        <v>17</v>
      </c>
      <c r="M73" s="18" t="s">
        <v>62</v>
      </c>
      <c r="N73" s="18" t="s">
        <v>62</v>
      </c>
      <c r="O73" s="22" t="s">
        <v>62</v>
      </c>
      <c r="P73" s="22" t="s">
        <v>62</v>
      </c>
      <c r="Q73" s="18" t="s">
        <v>62</v>
      </c>
      <c r="R73" s="18" t="s">
        <v>62</v>
      </c>
      <c r="S73" s="22" t="s">
        <v>17</v>
      </c>
      <c r="T73" s="18" t="s">
        <v>62</v>
      </c>
      <c r="U73" s="18" t="s">
        <v>62</v>
      </c>
      <c r="V73" s="18" t="s">
        <v>62</v>
      </c>
      <c r="W73" s="18" t="s">
        <v>62</v>
      </c>
      <c r="X73" s="18" t="s">
        <v>62</v>
      </c>
      <c r="Y73" s="18" t="s">
        <v>62</v>
      </c>
      <c r="Z73" s="22" t="s">
        <v>17</v>
      </c>
      <c r="AA73" s="18" t="s">
        <v>62</v>
      </c>
      <c r="AB73" s="18" t="s">
        <v>62</v>
      </c>
      <c r="AC73" s="18" t="s">
        <v>62</v>
      </c>
      <c r="AD73" s="66" t="s">
        <v>17</v>
      </c>
      <c r="AE73" s="18" t="s">
        <v>62</v>
      </c>
      <c r="AF73" s="18" t="s">
        <v>222</v>
      </c>
      <c r="AG73" s="18" t="s">
        <v>222</v>
      </c>
      <c r="AH73" s="18" t="s">
        <v>222</v>
      </c>
      <c r="AI73" s="18" t="s">
        <v>222</v>
      </c>
      <c r="AJ73" s="18" t="s">
        <v>222</v>
      </c>
      <c r="AK73" s="18" t="s">
        <v>222</v>
      </c>
      <c r="AL73" s="18" t="s">
        <v>222</v>
      </c>
      <c r="AM73" s="18" t="s">
        <v>222</v>
      </c>
      <c r="AN73" s="18">
        <f t="shared" si="0"/>
        <v>16</v>
      </c>
      <c r="AO73" s="18">
        <f t="shared" si="97"/>
        <v>4</v>
      </c>
      <c r="AP73" s="18">
        <f t="shared" si="98"/>
        <v>0</v>
      </c>
      <c r="AQ73" s="18">
        <f t="shared" si="99"/>
        <v>0</v>
      </c>
      <c r="AR73" s="18">
        <f t="shared" si="100"/>
        <v>0</v>
      </c>
      <c r="AS73" s="18">
        <f t="shared" si="101"/>
        <v>0</v>
      </c>
      <c r="AT73" s="18">
        <f t="shared" si="102"/>
        <v>0</v>
      </c>
      <c r="AU73" s="18">
        <f t="shared" si="103"/>
        <v>0</v>
      </c>
      <c r="AV73" s="18">
        <f t="shared" si="104"/>
        <v>0</v>
      </c>
      <c r="AW73" s="18">
        <f t="shared" si="105"/>
        <v>0</v>
      </c>
      <c r="AX73" s="18">
        <f t="shared" si="106"/>
        <v>0</v>
      </c>
      <c r="AY73" s="18">
        <f t="shared" si="107"/>
        <v>0</v>
      </c>
      <c r="AZ73" s="23">
        <f t="shared" si="12"/>
        <v>20</v>
      </c>
      <c r="BA73" s="18">
        <f t="shared" si="13"/>
        <v>16</v>
      </c>
      <c r="BB73" s="24">
        <f t="shared" si="14"/>
        <v>20</v>
      </c>
      <c r="BC73" s="25">
        <f t="shared" si="15"/>
        <v>1</v>
      </c>
      <c r="BD73" s="26">
        <f>VLOOKUP(B73,'Jan''26- Leave Bal'!$B$3:$D$83,3,0)</f>
        <v>0</v>
      </c>
      <c r="BE73" s="27">
        <f>VLOOKUP(B73,'Jan''26- Leave Bal'!$B$3:$E$83,4,0)+$BE$3</f>
        <v>0.5</v>
      </c>
      <c r="BF73" s="27">
        <f>VLOOKUP(B73,'Jan''26- Leave Bal'!$B$3:$F$83,5,0)+$BF$3</f>
        <v>0.5</v>
      </c>
      <c r="BG73" s="27">
        <f>VLOOKUP(B73,'Jan''26- Leave Bal'!$B$3:$G$83,6,0)+$BG$3</f>
        <v>10.5</v>
      </c>
      <c r="BH73" s="27">
        <f>VLOOKUP(B73,'Jan''26- Leave Bal'!$B$3:$H$83,7,0)</f>
        <v>15</v>
      </c>
      <c r="BI73" s="27">
        <f>VLOOKUP(B73,'Jan''26- Leave Bal'!$B$3:$I$83,8,0)+$BI$3</f>
        <v>0.75</v>
      </c>
      <c r="BJ73" s="28">
        <f t="shared" si="16"/>
        <v>0</v>
      </c>
      <c r="BK73" s="28">
        <f t="shared" si="17"/>
        <v>0</v>
      </c>
      <c r="BL73" s="28">
        <f t="shared" si="18"/>
        <v>0</v>
      </c>
      <c r="BM73" s="28">
        <f t="shared" si="19"/>
        <v>0</v>
      </c>
      <c r="BN73" s="28">
        <f t="shared" si="20"/>
        <v>0</v>
      </c>
      <c r="BO73" s="28">
        <f t="shared" si="21"/>
        <v>0</v>
      </c>
      <c r="BP73" s="28">
        <f t="shared" ref="BP73:BT73" si="111">BD73-BJ73</f>
        <v>0</v>
      </c>
      <c r="BQ73" s="26">
        <f t="shared" si="111"/>
        <v>0.5</v>
      </c>
      <c r="BR73" s="26">
        <f t="shared" si="111"/>
        <v>0.5</v>
      </c>
      <c r="BS73" s="26">
        <f t="shared" si="111"/>
        <v>10.5</v>
      </c>
      <c r="BT73" s="26">
        <f t="shared" si="111"/>
        <v>15</v>
      </c>
      <c r="BU73" s="26">
        <f t="shared" si="23"/>
        <v>0.75</v>
      </c>
      <c r="BW73" s="17">
        <v>0</v>
      </c>
    </row>
    <row r="74" spans="1:75" ht="12" x14ac:dyDescent="0.3">
      <c r="A74" s="18">
        <v>71</v>
      </c>
      <c r="B74" s="18" t="s">
        <v>228</v>
      </c>
      <c r="C74" s="50"/>
      <c r="D74" s="18" t="s">
        <v>219</v>
      </c>
      <c r="E74" s="19" t="s">
        <v>135</v>
      </c>
      <c r="F74" s="18" t="s">
        <v>59</v>
      </c>
      <c r="G74" s="18" t="s">
        <v>77</v>
      </c>
      <c r="H74" s="18">
        <v>9849549687</v>
      </c>
      <c r="I74" s="18" t="s">
        <v>229</v>
      </c>
      <c r="J74" s="20">
        <v>45159</v>
      </c>
      <c r="K74" s="29">
        <v>46072</v>
      </c>
      <c r="L74" s="18" t="s">
        <v>62</v>
      </c>
      <c r="M74" s="22" t="s">
        <v>17</v>
      </c>
      <c r="N74" s="18" t="s">
        <v>62</v>
      </c>
      <c r="O74" s="18" t="s">
        <v>62</v>
      </c>
      <c r="P74" s="18" t="s">
        <v>62</v>
      </c>
      <c r="Q74" s="18" t="s">
        <v>62</v>
      </c>
      <c r="R74" s="18" t="s">
        <v>62</v>
      </c>
      <c r="S74" s="18" t="s">
        <v>62</v>
      </c>
      <c r="T74" s="18" t="s">
        <v>62</v>
      </c>
      <c r="U74" s="18" t="s">
        <v>62</v>
      </c>
      <c r="V74" s="23" t="s">
        <v>62</v>
      </c>
      <c r="W74" s="18" t="s">
        <v>62</v>
      </c>
      <c r="X74" s="18" t="s">
        <v>62</v>
      </c>
      <c r="Y74" s="18" t="s">
        <v>62</v>
      </c>
      <c r="Z74" s="22" t="s">
        <v>17</v>
      </c>
      <c r="AA74" s="18" t="s">
        <v>62</v>
      </c>
      <c r="AB74" s="18" t="s">
        <v>62</v>
      </c>
      <c r="AC74" s="18" t="s">
        <v>62</v>
      </c>
      <c r="AD74" s="18" t="s">
        <v>62</v>
      </c>
      <c r="AE74" s="18" t="s">
        <v>222</v>
      </c>
      <c r="AF74" s="18" t="s">
        <v>222</v>
      </c>
      <c r="AG74" s="18" t="s">
        <v>222</v>
      </c>
      <c r="AH74" s="18" t="s">
        <v>222</v>
      </c>
      <c r="AI74" s="18" t="s">
        <v>222</v>
      </c>
      <c r="AJ74" s="18" t="s">
        <v>222</v>
      </c>
      <c r="AK74" s="18" t="s">
        <v>222</v>
      </c>
      <c r="AL74" s="18" t="s">
        <v>222</v>
      </c>
      <c r="AM74" s="18" t="s">
        <v>222</v>
      </c>
      <c r="AN74" s="18">
        <f t="shared" si="0"/>
        <v>17</v>
      </c>
      <c r="AO74" s="18">
        <f t="shared" si="97"/>
        <v>2</v>
      </c>
      <c r="AP74" s="18">
        <f t="shared" si="98"/>
        <v>0</v>
      </c>
      <c r="AQ74" s="18">
        <f t="shared" si="99"/>
        <v>0</v>
      </c>
      <c r="AR74" s="18">
        <f t="shared" si="100"/>
        <v>0</v>
      </c>
      <c r="AS74" s="18">
        <f t="shared" si="101"/>
        <v>0</v>
      </c>
      <c r="AT74" s="18">
        <f t="shared" si="102"/>
        <v>0</v>
      </c>
      <c r="AU74" s="18">
        <f t="shared" si="103"/>
        <v>0</v>
      </c>
      <c r="AV74" s="18">
        <f t="shared" si="104"/>
        <v>0</v>
      </c>
      <c r="AW74" s="18">
        <f t="shared" si="105"/>
        <v>0</v>
      </c>
      <c r="AX74" s="18">
        <f t="shared" si="106"/>
        <v>0</v>
      </c>
      <c r="AY74" s="18">
        <f t="shared" si="107"/>
        <v>0</v>
      </c>
      <c r="AZ74" s="23">
        <f t="shared" si="12"/>
        <v>19</v>
      </c>
      <c r="BA74" s="18">
        <f t="shared" si="13"/>
        <v>17</v>
      </c>
      <c r="BB74" s="24">
        <f t="shared" si="14"/>
        <v>19</v>
      </c>
      <c r="BC74" s="25">
        <f t="shared" si="15"/>
        <v>1</v>
      </c>
      <c r="BD74" s="26">
        <f>VLOOKUP(B74,'Jan''26- Leave Bal'!$B$3:$D$83,3,0)</f>
        <v>0</v>
      </c>
      <c r="BE74" s="27">
        <f>VLOOKUP(B74,'Jan''26- Leave Bal'!$B$3:$E$83,4,0)+$BE$3</f>
        <v>0.5</v>
      </c>
      <c r="BF74" s="27">
        <f>VLOOKUP(B74,'Jan''26- Leave Bal'!$B$3:$F$83,5,0)+$BF$3</f>
        <v>0.5</v>
      </c>
      <c r="BG74" s="27">
        <f>VLOOKUP(B74,'Jan''26- Leave Bal'!$B$3:$G$83,6,0)+$BG$3</f>
        <v>1</v>
      </c>
      <c r="BH74" s="27">
        <f>VLOOKUP(B74,'Jan''26- Leave Bal'!$B$3:$H$83,7,0)</f>
        <v>15</v>
      </c>
      <c r="BI74" s="27">
        <f>VLOOKUP(B74,'Jan''26- Leave Bal'!$B$3:$I$83,8,0)+$BI$3</f>
        <v>0.75</v>
      </c>
      <c r="BJ74" s="28">
        <f t="shared" si="16"/>
        <v>0</v>
      </c>
      <c r="BK74" s="28">
        <f t="shared" si="17"/>
        <v>0</v>
      </c>
      <c r="BL74" s="28">
        <f t="shared" si="18"/>
        <v>0</v>
      </c>
      <c r="BM74" s="28">
        <f t="shared" si="19"/>
        <v>0</v>
      </c>
      <c r="BN74" s="28">
        <f t="shared" si="20"/>
        <v>0</v>
      </c>
      <c r="BO74" s="28">
        <f t="shared" si="21"/>
        <v>0</v>
      </c>
      <c r="BP74" s="28">
        <f t="shared" ref="BP74:BT74" si="112">BD74-BJ74</f>
        <v>0</v>
      </c>
      <c r="BQ74" s="26">
        <f t="shared" si="112"/>
        <v>0.5</v>
      </c>
      <c r="BR74" s="26">
        <f t="shared" si="112"/>
        <v>0.5</v>
      </c>
      <c r="BS74" s="26">
        <f t="shared" si="112"/>
        <v>1</v>
      </c>
      <c r="BT74" s="26">
        <f t="shared" si="112"/>
        <v>15</v>
      </c>
      <c r="BU74" s="26">
        <f t="shared" si="23"/>
        <v>0.75</v>
      </c>
      <c r="BW74" s="17" t="s">
        <v>254</v>
      </c>
    </row>
    <row r="75" spans="1:75" ht="12" x14ac:dyDescent="0.3">
      <c r="A75" s="18">
        <v>72</v>
      </c>
      <c r="B75" s="18" t="s">
        <v>230</v>
      </c>
      <c r="C75" s="50"/>
      <c r="D75" s="18" t="s">
        <v>219</v>
      </c>
      <c r="E75" s="19" t="s">
        <v>58</v>
      </c>
      <c r="F75" s="18" t="s">
        <v>59</v>
      </c>
      <c r="G75" s="19" t="s">
        <v>77</v>
      </c>
      <c r="H75" s="18">
        <v>9398405564</v>
      </c>
      <c r="I75" s="18" t="s">
        <v>231</v>
      </c>
      <c r="J75" s="20">
        <v>45033</v>
      </c>
      <c r="K75" s="29">
        <v>46072</v>
      </c>
      <c r="L75" s="18" t="s">
        <v>62</v>
      </c>
      <c r="M75" s="18" t="s">
        <v>62</v>
      </c>
      <c r="N75" s="18" t="s">
        <v>18</v>
      </c>
      <c r="O75" s="22" t="s">
        <v>62</v>
      </c>
      <c r="P75" s="18" t="s">
        <v>62</v>
      </c>
      <c r="Q75" s="18" t="s">
        <v>62</v>
      </c>
      <c r="R75" s="18" t="s">
        <v>62</v>
      </c>
      <c r="S75" s="22" t="s">
        <v>17</v>
      </c>
      <c r="T75" s="18" t="s">
        <v>62</v>
      </c>
      <c r="U75" s="18" t="s">
        <v>62</v>
      </c>
      <c r="V75" s="22" t="s">
        <v>62</v>
      </c>
      <c r="W75" s="18" t="s">
        <v>62</v>
      </c>
      <c r="X75" s="18" t="s">
        <v>62</v>
      </c>
      <c r="Y75" s="18" t="s">
        <v>62</v>
      </c>
      <c r="Z75" s="22" t="s">
        <v>17</v>
      </c>
      <c r="AA75" s="18" t="s">
        <v>62</v>
      </c>
      <c r="AB75" s="18" t="s">
        <v>62</v>
      </c>
      <c r="AC75" s="18" t="s">
        <v>62</v>
      </c>
      <c r="AD75" s="18" t="s">
        <v>62</v>
      </c>
      <c r="AE75" s="18" t="s">
        <v>222</v>
      </c>
      <c r="AF75" s="18" t="s">
        <v>222</v>
      </c>
      <c r="AG75" s="18" t="s">
        <v>222</v>
      </c>
      <c r="AH75" s="18" t="s">
        <v>222</v>
      </c>
      <c r="AI75" s="18" t="s">
        <v>222</v>
      </c>
      <c r="AJ75" s="18" t="s">
        <v>222</v>
      </c>
      <c r="AK75" s="18" t="s">
        <v>222</v>
      </c>
      <c r="AL75" s="18" t="s">
        <v>222</v>
      </c>
      <c r="AM75" s="18" t="s">
        <v>222</v>
      </c>
      <c r="AN75" s="18">
        <f t="shared" si="0"/>
        <v>16</v>
      </c>
      <c r="AO75" s="18">
        <f t="shared" si="97"/>
        <v>2</v>
      </c>
      <c r="AP75" s="18">
        <f t="shared" si="98"/>
        <v>1</v>
      </c>
      <c r="AQ75" s="18">
        <f t="shared" si="99"/>
        <v>0</v>
      </c>
      <c r="AR75" s="18">
        <f t="shared" si="100"/>
        <v>0</v>
      </c>
      <c r="AS75" s="18">
        <f t="shared" si="101"/>
        <v>0</v>
      </c>
      <c r="AT75" s="18">
        <f t="shared" si="102"/>
        <v>0</v>
      </c>
      <c r="AU75" s="18">
        <f t="shared" si="103"/>
        <v>0</v>
      </c>
      <c r="AV75" s="18">
        <f t="shared" si="104"/>
        <v>0</v>
      </c>
      <c r="AW75" s="18">
        <f t="shared" si="105"/>
        <v>0</v>
      </c>
      <c r="AX75" s="18">
        <f t="shared" si="106"/>
        <v>0</v>
      </c>
      <c r="AY75" s="18">
        <f t="shared" si="107"/>
        <v>0</v>
      </c>
      <c r="AZ75" s="23">
        <f t="shared" si="12"/>
        <v>19</v>
      </c>
      <c r="BA75" s="18">
        <f t="shared" si="13"/>
        <v>17</v>
      </c>
      <c r="BB75" s="24">
        <f t="shared" si="14"/>
        <v>19</v>
      </c>
      <c r="BC75" s="25">
        <f t="shared" si="15"/>
        <v>0.94117647058823528</v>
      </c>
      <c r="BD75" s="26">
        <f>VLOOKUP(B75,'Jan''26- Leave Bal'!$B$3:$D$83,3,0)</f>
        <v>0</v>
      </c>
      <c r="BE75" s="27">
        <f>VLOOKUP(B75,'Jan''26- Leave Bal'!$B$3:$E$83,4,0)+$BE$3</f>
        <v>0.5</v>
      </c>
      <c r="BF75" s="27">
        <f>VLOOKUP(B75,'Jan''26- Leave Bal'!$B$3:$F$83,5,0)+$BF$3</f>
        <v>0.5</v>
      </c>
      <c r="BG75" s="27">
        <f>VLOOKUP(B75,'Jan''26- Leave Bal'!$B$3:$G$83,6,0)+$BG$3</f>
        <v>3.5</v>
      </c>
      <c r="BH75" s="27">
        <f>VLOOKUP(B75,'Jan''26- Leave Bal'!$B$3:$H$83,7,0)</f>
        <v>15</v>
      </c>
      <c r="BI75" s="27">
        <f>VLOOKUP(B75,'Jan''26- Leave Bal'!$B$3:$I$83,8,0)+$BI$3</f>
        <v>0.75</v>
      </c>
      <c r="BJ75" s="28">
        <f t="shared" si="16"/>
        <v>0</v>
      </c>
      <c r="BK75" s="28">
        <f t="shared" si="17"/>
        <v>0.5</v>
      </c>
      <c r="BL75" s="28">
        <f t="shared" si="18"/>
        <v>0.5</v>
      </c>
      <c r="BM75" s="28">
        <f t="shared" si="19"/>
        <v>0</v>
      </c>
      <c r="BN75" s="28">
        <f t="shared" si="20"/>
        <v>0</v>
      </c>
      <c r="BO75" s="28">
        <f t="shared" si="21"/>
        <v>0</v>
      </c>
      <c r="BP75" s="28">
        <f t="shared" ref="BP75:BT75" si="113">BD75-BJ75</f>
        <v>0</v>
      </c>
      <c r="BQ75" s="26">
        <f t="shared" si="113"/>
        <v>0</v>
      </c>
      <c r="BR75" s="26">
        <f t="shared" si="113"/>
        <v>0</v>
      </c>
      <c r="BS75" s="26">
        <f t="shared" si="113"/>
        <v>3.5</v>
      </c>
      <c r="BT75" s="26">
        <f t="shared" si="113"/>
        <v>15</v>
      </c>
      <c r="BU75" s="26">
        <f t="shared" si="23"/>
        <v>0.75</v>
      </c>
      <c r="BW75" s="17" t="s">
        <v>254</v>
      </c>
    </row>
    <row r="76" spans="1:75" ht="12" x14ac:dyDescent="0.3">
      <c r="A76" s="18">
        <v>73</v>
      </c>
      <c r="B76" s="18" t="s">
        <v>232</v>
      </c>
      <c r="C76" s="50"/>
      <c r="D76" s="18" t="s">
        <v>219</v>
      </c>
      <c r="E76" s="19" t="s">
        <v>135</v>
      </c>
      <c r="F76" s="18" t="s">
        <v>59</v>
      </c>
      <c r="G76" s="18" t="s">
        <v>60</v>
      </c>
      <c r="H76" s="18">
        <v>6305752303</v>
      </c>
      <c r="I76" s="18" t="s">
        <v>233</v>
      </c>
      <c r="J76" s="20">
        <v>45033</v>
      </c>
      <c r="K76" s="29">
        <v>46072</v>
      </c>
      <c r="L76" s="18" t="s">
        <v>62</v>
      </c>
      <c r="M76" s="18" t="s">
        <v>62</v>
      </c>
      <c r="N76" s="18" t="s">
        <v>62</v>
      </c>
      <c r="O76" s="18" t="s">
        <v>62</v>
      </c>
      <c r="P76" s="18" t="s">
        <v>62</v>
      </c>
      <c r="Q76" s="18" t="s">
        <v>62</v>
      </c>
      <c r="R76" s="22" t="s">
        <v>17</v>
      </c>
      <c r="S76" s="18" t="s">
        <v>18</v>
      </c>
      <c r="T76" s="18" t="s">
        <v>62</v>
      </c>
      <c r="U76" s="18" t="s">
        <v>62</v>
      </c>
      <c r="V76" s="18" t="s">
        <v>17</v>
      </c>
      <c r="W76" s="18" t="s">
        <v>62</v>
      </c>
      <c r="X76" s="18" t="s">
        <v>62</v>
      </c>
      <c r="Y76" s="18" t="s">
        <v>62</v>
      </c>
      <c r="Z76" s="18" t="s">
        <v>62</v>
      </c>
      <c r="AA76" s="18" t="s">
        <v>62</v>
      </c>
      <c r="AB76" s="18" t="s">
        <v>62</v>
      </c>
      <c r="AC76" s="18" t="s">
        <v>62</v>
      </c>
      <c r="AD76" s="18" t="s">
        <v>62</v>
      </c>
      <c r="AE76" s="18" t="s">
        <v>222</v>
      </c>
      <c r="AF76" s="18" t="s">
        <v>222</v>
      </c>
      <c r="AG76" s="18" t="s">
        <v>222</v>
      </c>
      <c r="AH76" s="18" t="s">
        <v>222</v>
      </c>
      <c r="AI76" s="18" t="s">
        <v>222</v>
      </c>
      <c r="AJ76" s="18" t="s">
        <v>222</v>
      </c>
      <c r="AK76" s="18" t="s">
        <v>222</v>
      </c>
      <c r="AL76" s="18" t="s">
        <v>222</v>
      </c>
      <c r="AM76" s="18" t="s">
        <v>222</v>
      </c>
      <c r="AN76" s="18">
        <f t="shared" si="0"/>
        <v>16</v>
      </c>
      <c r="AO76" s="18">
        <f t="shared" si="97"/>
        <v>2</v>
      </c>
      <c r="AP76" s="18">
        <f t="shared" si="98"/>
        <v>1</v>
      </c>
      <c r="AQ76" s="18">
        <f t="shared" si="99"/>
        <v>0</v>
      </c>
      <c r="AR76" s="18">
        <f t="shared" si="100"/>
        <v>0</v>
      </c>
      <c r="AS76" s="18">
        <f t="shared" si="101"/>
        <v>0</v>
      </c>
      <c r="AT76" s="18">
        <f t="shared" si="102"/>
        <v>0</v>
      </c>
      <c r="AU76" s="18">
        <f t="shared" si="103"/>
        <v>0</v>
      </c>
      <c r="AV76" s="18">
        <f t="shared" si="104"/>
        <v>0</v>
      </c>
      <c r="AW76" s="18">
        <f t="shared" si="105"/>
        <v>0</v>
      </c>
      <c r="AX76" s="18">
        <f t="shared" si="106"/>
        <v>0</v>
      </c>
      <c r="AY76" s="18">
        <f t="shared" si="107"/>
        <v>0</v>
      </c>
      <c r="AZ76" s="23">
        <f t="shared" si="12"/>
        <v>19</v>
      </c>
      <c r="BA76" s="18">
        <f t="shared" si="13"/>
        <v>17</v>
      </c>
      <c r="BB76" s="24">
        <f t="shared" si="14"/>
        <v>19</v>
      </c>
      <c r="BC76" s="25">
        <f t="shared" si="15"/>
        <v>0.94117647058823528</v>
      </c>
      <c r="BD76" s="26">
        <f>VLOOKUP(B76,'Jan''26- Leave Bal'!$B$3:$D$83,3,0)</f>
        <v>0</v>
      </c>
      <c r="BE76" s="27">
        <f>VLOOKUP(B76,'Jan''26- Leave Bal'!$B$3:$E$83,4,0)+$BE$3</f>
        <v>0.5</v>
      </c>
      <c r="BF76" s="27">
        <f>VLOOKUP(B76,'Jan''26- Leave Bal'!$B$3:$F$83,5,0)+$BF$3</f>
        <v>0.5</v>
      </c>
      <c r="BG76" s="27">
        <f>VLOOKUP(B76,'Jan''26- Leave Bal'!$B$3:$G$83,6,0)+$BG$3</f>
        <v>1</v>
      </c>
      <c r="BH76" s="27">
        <f>VLOOKUP(B76,'Jan''26- Leave Bal'!$B$3:$H$83,7,0)</f>
        <v>15</v>
      </c>
      <c r="BI76" s="27">
        <f>VLOOKUP(B76,'Jan''26- Leave Bal'!$B$3:$I$83,8,0)+$BI$3</f>
        <v>0.75</v>
      </c>
      <c r="BJ76" s="28">
        <f t="shared" si="16"/>
        <v>0</v>
      </c>
      <c r="BK76" s="28">
        <f t="shared" si="17"/>
        <v>0.5</v>
      </c>
      <c r="BL76" s="28">
        <f t="shared" si="18"/>
        <v>0.5</v>
      </c>
      <c r="BM76" s="28">
        <f t="shared" si="19"/>
        <v>0</v>
      </c>
      <c r="BN76" s="28">
        <f t="shared" si="20"/>
        <v>0</v>
      </c>
      <c r="BO76" s="28">
        <f t="shared" si="21"/>
        <v>0</v>
      </c>
      <c r="BP76" s="28">
        <f t="shared" ref="BP76:BT76" si="114">BD76-BJ76</f>
        <v>0</v>
      </c>
      <c r="BQ76" s="26">
        <f t="shared" si="114"/>
        <v>0</v>
      </c>
      <c r="BR76" s="26">
        <f t="shared" si="114"/>
        <v>0</v>
      </c>
      <c r="BS76" s="26">
        <f t="shared" si="114"/>
        <v>1</v>
      </c>
      <c r="BT76" s="26">
        <f t="shared" si="114"/>
        <v>15</v>
      </c>
      <c r="BU76" s="26">
        <f t="shared" si="23"/>
        <v>0.75</v>
      </c>
      <c r="BW76" s="17">
        <v>0</v>
      </c>
    </row>
    <row r="77" spans="1:75" ht="12" x14ac:dyDescent="0.3">
      <c r="A77" s="18">
        <v>74</v>
      </c>
      <c r="B77" s="18" t="s">
        <v>234</v>
      </c>
      <c r="C77" s="50"/>
      <c r="D77" s="18" t="s">
        <v>219</v>
      </c>
      <c r="E77" s="19" t="s">
        <v>58</v>
      </c>
      <c r="F77" s="18" t="s">
        <v>59</v>
      </c>
      <c r="G77" s="18" t="s">
        <v>60</v>
      </c>
      <c r="H77" s="18">
        <v>9346325628</v>
      </c>
      <c r="I77" s="18" t="s">
        <v>235</v>
      </c>
      <c r="J77" s="20">
        <v>44845</v>
      </c>
      <c r="K77" s="29">
        <v>46072</v>
      </c>
      <c r="L77" s="22" t="s">
        <v>17</v>
      </c>
      <c r="M77" s="18" t="s">
        <v>62</v>
      </c>
      <c r="N77" s="22" t="s">
        <v>62</v>
      </c>
      <c r="O77" s="18" t="s">
        <v>62</v>
      </c>
      <c r="P77" s="18" t="s">
        <v>62</v>
      </c>
      <c r="Q77" s="18" t="s">
        <v>62</v>
      </c>
      <c r="R77" s="22" t="s">
        <v>62</v>
      </c>
      <c r="S77" s="22" t="s">
        <v>17</v>
      </c>
      <c r="T77" s="18" t="s">
        <v>62</v>
      </c>
      <c r="U77" s="18" t="s">
        <v>62</v>
      </c>
      <c r="V77" s="22" t="s">
        <v>62</v>
      </c>
      <c r="W77" s="18" t="s">
        <v>62</v>
      </c>
      <c r="X77" s="18" t="s">
        <v>62</v>
      </c>
      <c r="Y77" s="18" t="s">
        <v>18</v>
      </c>
      <c r="Z77" s="22" t="s">
        <v>17</v>
      </c>
      <c r="AA77" s="18" t="s">
        <v>62</v>
      </c>
      <c r="AB77" s="18" t="s">
        <v>62</v>
      </c>
      <c r="AC77" s="18" t="s">
        <v>62</v>
      </c>
      <c r="AD77" s="18" t="s">
        <v>62</v>
      </c>
      <c r="AE77" s="18" t="s">
        <v>222</v>
      </c>
      <c r="AF77" s="18" t="s">
        <v>222</v>
      </c>
      <c r="AG77" s="18" t="s">
        <v>222</v>
      </c>
      <c r="AH77" s="18" t="s">
        <v>222</v>
      </c>
      <c r="AI77" s="18" t="s">
        <v>222</v>
      </c>
      <c r="AJ77" s="18" t="s">
        <v>222</v>
      </c>
      <c r="AK77" s="18" t="s">
        <v>222</v>
      </c>
      <c r="AL77" s="18" t="s">
        <v>222</v>
      </c>
      <c r="AM77" s="18" t="s">
        <v>222</v>
      </c>
      <c r="AN77" s="18">
        <f t="shared" si="0"/>
        <v>15</v>
      </c>
      <c r="AO77" s="18">
        <f t="shared" si="97"/>
        <v>3</v>
      </c>
      <c r="AP77" s="18">
        <f t="shared" si="98"/>
        <v>1</v>
      </c>
      <c r="AQ77" s="18">
        <f t="shared" si="99"/>
        <v>0</v>
      </c>
      <c r="AR77" s="18">
        <f t="shared" si="100"/>
        <v>0</v>
      </c>
      <c r="AS77" s="18">
        <f t="shared" si="101"/>
        <v>0</v>
      </c>
      <c r="AT77" s="18">
        <f t="shared" si="102"/>
        <v>0</v>
      </c>
      <c r="AU77" s="18">
        <f t="shared" si="103"/>
        <v>0</v>
      </c>
      <c r="AV77" s="18">
        <f t="shared" si="104"/>
        <v>0</v>
      </c>
      <c r="AW77" s="18">
        <f t="shared" si="105"/>
        <v>0</v>
      </c>
      <c r="AX77" s="18">
        <f t="shared" si="106"/>
        <v>0</v>
      </c>
      <c r="AY77" s="18">
        <f t="shared" si="107"/>
        <v>0</v>
      </c>
      <c r="AZ77" s="23">
        <f t="shared" si="12"/>
        <v>19</v>
      </c>
      <c r="BA77" s="18">
        <f t="shared" si="13"/>
        <v>16</v>
      </c>
      <c r="BB77" s="24">
        <f t="shared" si="14"/>
        <v>19</v>
      </c>
      <c r="BC77" s="25">
        <f t="shared" si="15"/>
        <v>0.9375</v>
      </c>
      <c r="BD77" s="26">
        <f>VLOOKUP(B77,'Jan''26- Leave Bal'!$B$3:$D$83,3,0)</f>
        <v>0</v>
      </c>
      <c r="BE77" s="27">
        <f>VLOOKUP(B77,'Jan''26- Leave Bal'!$B$3:$E$83,4,0)+$BE$3</f>
        <v>0.5</v>
      </c>
      <c r="BF77" s="27">
        <f>VLOOKUP(B77,'Jan''26- Leave Bal'!$B$3:$F$83,5,0)+$BF$3</f>
        <v>0.5</v>
      </c>
      <c r="BG77" s="27">
        <f>VLOOKUP(B77,'Jan''26- Leave Bal'!$B$3:$G$83,6,0)+$BG$3</f>
        <v>1</v>
      </c>
      <c r="BH77" s="27">
        <f>VLOOKUP(B77,'Jan''26- Leave Bal'!$B$3:$H$83,7,0)</f>
        <v>15</v>
      </c>
      <c r="BI77" s="27">
        <f>VLOOKUP(B77,'Jan''26- Leave Bal'!$B$3:$I$83,8,0)+$BI$3</f>
        <v>0.75</v>
      </c>
      <c r="BJ77" s="28">
        <f t="shared" si="16"/>
        <v>0</v>
      </c>
      <c r="BK77" s="28">
        <f t="shared" si="17"/>
        <v>0.5</v>
      </c>
      <c r="BL77" s="28">
        <f t="shared" si="18"/>
        <v>0.5</v>
      </c>
      <c r="BM77" s="28">
        <f t="shared" si="19"/>
        <v>0</v>
      </c>
      <c r="BN77" s="28">
        <f t="shared" si="20"/>
        <v>0</v>
      </c>
      <c r="BO77" s="28">
        <f t="shared" si="21"/>
        <v>0</v>
      </c>
      <c r="BP77" s="28">
        <f t="shared" ref="BP77:BT77" si="115">BD77-BJ77</f>
        <v>0</v>
      </c>
      <c r="BQ77" s="26">
        <f t="shared" si="115"/>
        <v>0</v>
      </c>
      <c r="BR77" s="26">
        <f t="shared" si="115"/>
        <v>0</v>
      </c>
      <c r="BS77" s="26">
        <f t="shared" si="115"/>
        <v>1</v>
      </c>
      <c r="BT77" s="26">
        <f t="shared" si="115"/>
        <v>15</v>
      </c>
      <c r="BU77" s="26">
        <f t="shared" si="23"/>
        <v>0.75</v>
      </c>
      <c r="BW77" s="17">
        <v>0</v>
      </c>
    </row>
    <row r="78" spans="1:75" ht="12" x14ac:dyDescent="0.3">
      <c r="A78" s="18">
        <v>75</v>
      </c>
      <c r="B78" s="18" t="s">
        <v>236</v>
      </c>
      <c r="C78" s="50"/>
      <c r="D78" s="18" t="s">
        <v>219</v>
      </c>
      <c r="E78" s="19" t="s">
        <v>58</v>
      </c>
      <c r="F78" s="18" t="s">
        <v>59</v>
      </c>
      <c r="G78" s="18" t="s">
        <v>77</v>
      </c>
      <c r="H78" s="18" t="s">
        <v>237</v>
      </c>
      <c r="I78" s="18" t="s">
        <v>238</v>
      </c>
      <c r="J78" s="20">
        <v>43983</v>
      </c>
      <c r="K78" s="29">
        <v>46072</v>
      </c>
      <c r="L78" s="22" t="s">
        <v>17</v>
      </c>
      <c r="M78" s="18" t="s">
        <v>62</v>
      </c>
      <c r="N78" s="22" t="s">
        <v>62</v>
      </c>
      <c r="O78" s="18" t="s">
        <v>62</v>
      </c>
      <c r="P78" s="18" t="s">
        <v>62</v>
      </c>
      <c r="Q78" s="18" t="s">
        <v>62</v>
      </c>
      <c r="R78" s="18" t="s">
        <v>62</v>
      </c>
      <c r="S78" s="22" t="s">
        <v>17</v>
      </c>
      <c r="T78" s="18" t="s">
        <v>62</v>
      </c>
      <c r="U78" s="18" t="s">
        <v>62</v>
      </c>
      <c r="V78" s="18" t="s">
        <v>62</v>
      </c>
      <c r="W78" s="18" t="s">
        <v>62</v>
      </c>
      <c r="X78" s="18" t="s">
        <v>62</v>
      </c>
      <c r="Y78" s="22" t="s">
        <v>17</v>
      </c>
      <c r="Z78" s="18" t="s">
        <v>18</v>
      </c>
      <c r="AA78" s="18" t="s">
        <v>62</v>
      </c>
      <c r="AB78" s="18" t="s">
        <v>18</v>
      </c>
      <c r="AC78" s="18" t="s">
        <v>18</v>
      </c>
      <c r="AD78" s="18" t="s">
        <v>62</v>
      </c>
      <c r="AE78" s="18" t="s">
        <v>222</v>
      </c>
      <c r="AF78" s="18" t="s">
        <v>222</v>
      </c>
      <c r="AG78" s="18" t="s">
        <v>222</v>
      </c>
      <c r="AH78" s="18" t="s">
        <v>222</v>
      </c>
      <c r="AI78" s="18" t="s">
        <v>222</v>
      </c>
      <c r="AJ78" s="18" t="s">
        <v>222</v>
      </c>
      <c r="AK78" s="18" t="s">
        <v>222</v>
      </c>
      <c r="AL78" s="18" t="s">
        <v>222</v>
      </c>
      <c r="AM78" s="18" t="s">
        <v>222</v>
      </c>
      <c r="AN78" s="18">
        <f t="shared" si="0"/>
        <v>13</v>
      </c>
      <c r="AO78" s="18">
        <f t="shared" si="97"/>
        <v>3</v>
      </c>
      <c r="AP78" s="18">
        <f t="shared" si="98"/>
        <v>3</v>
      </c>
      <c r="AQ78" s="18">
        <f t="shared" si="99"/>
        <v>0</v>
      </c>
      <c r="AR78" s="18">
        <f t="shared" si="100"/>
        <v>0</v>
      </c>
      <c r="AS78" s="18">
        <f t="shared" si="101"/>
        <v>0</v>
      </c>
      <c r="AT78" s="18">
        <f t="shared" si="102"/>
        <v>0</v>
      </c>
      <c r="AU78" s="18">
        <f t="shared" si="103"/>
        <v>0</v>
      </c>
      <c r="AV78" s="18">
        <f t="shared" si="104"/>
        <v>0</v>
      </c>
      <c r="AW78" s="18">
        <f t="shared" si="105"/>
        <v>0</v>
      </c>
      <c r="AX78" s="18">
        <f t="shared" si="106"/>
        <v>0</v>
      </c>
      <c r="AY78" s="18">
        <f t="shared" si="107"/>
        <v>0</v>
      </c>
      <c r="AZ78" s="23">
        <f t="shared" si="12"/>
        <v>19</v>
      </c>
      <c r="BA78" s="18">
        <f t="shared" si="13"/>
        <v>16</v>
      </c>
      <c r="BB78" s="24">
        <f t="shared" si="14"/>
        <v>19</v>
      </c>
      <c r="BC78" s="25">
        <f t="shared" si="15"/>
        <v>0.8125</v>
      </c>
      <c r="BD78" s="26">
        <f>VLOOKUP(B78,'Jan''26- Leave Bal'!$B$3:$D$83,3,0)</f>
        <v>0</v>
      </c>
      <c r="BE78" s="27">
        <f>VLOOKUP(B78,'Jan''26- Leave Bal'!$B$3:$E$83,4,0)+$BE$3</f>
        <v>0.5</v>
      </c>
      <c r="BF78" s="27">
        <f>VLOOKUP(B78,'Jan''26- Leave Bal'!$B$3:$F$83,5,0)+$BF$3</f>
        <v>0.5</v>
      </c>
      <c r="BG78" s="27">
        <f>VLOOKUP(B78,'Jan''26- Leave Bal'!$B$3:$G$83,6,0)+$BG$3</f>
        <v>8</v>
      </c>
      <c r="BH78" s="27">
        <f>VLOOKUP(B78,'Jan''26- Leave Bal'!$B$3:$H$83,7,0)</f>
        <v>15</v>
      </c>
      <c r="BI78" s="27">
        <f>VLOOKUP(B78,'Jan''26- Leave Bal'!$B$3:$I$83,8,0)+$BI$3</f>
        <v>0.75</v>
      </c>
      <c r="BJ78" s="28">
        <f t="shared" si="16"/>
        <v>0</v>
      </c>
      <c r="BK78" s="28">
        <f t="shared" si="17"/>
        <v>0.5</v>
      </c>
      <c r="BL78" s="28">
        <f t="shared" si="18"/>
        <v>0.5</v>
      </c>
      <c r="BM78" s="28">
        <f t="shared" si="19"/>
        <v>2</v>
      </c>
      <c r="BN78" s="28">
        <f t="shared" si="20"/>
        <v>0</v>
      </c>
      <c r="BO78" s="28">
        <f t="shared" si="21"/>
        <v>0</v>
      </c>
      <c r="BP78" s="28">
        <f t="shared" ref="BP78:BT78" si="116">BD78-BJ78</f>
        <v>0</v>
      </c>
      <c r="BQ78" s="26">
        <f t="shared" si="116"/>
        <v>0</v>
      </c>
      <c r="BR78" s="26">
        <f t="shared" si="116"/>
        <v>0</v>
      </c>
      <c r="BS78" s="26">
        <f t="shared" si="116"/>
        <v>6</v>
      </c>
      <c r="BT78" s="26">
        <f t="shared" si="116"/>
        <v>15</v>
      </c>
      <c r="BU78" s="26">
        <f t="shared" si="23"/>
        <v>0.75</v>
      </c>
      <c r="BW78" s="17">
        <v>0</v>
      </c>
    </row>
    <row r="79" spans="1:75" ht="12" x14ac:dyDescent="0.3">
      <c r="A79" s="18">
        <v>76</v>
      </c>
      <c r="B79" s="18" t="s">
        <v>239</v>
      </c>
      <c r="C79" s="50"/>
      <c r="D79" s="18" t="s">
        <v>219</v>
      </c>
      <c r="E79" s="19" t="s">
        <v>135</v>
      </c>
      <c r="F79" s="18" t="s">
        <v>59</v>
      </c>
      <c r="G79" s="18" t="s">
        <v>77</v>
      </c>
      <c r="H79" s="18">
        <v>8639677423</v>
      </c>
      <c r="I79" s="18" t="s">
        <v>240</v>
      </c>
      <c r="J79" s="20">
        <v>43983</v>
      </c>
      <c r="K79" s="29">
        <v>46072</v>
      </c>
      <c r="L79" s="18" t="s">
        <v>62</v>
      </c>
      <c r="M79" s="18" t="s">
        <v>62</v>
      </c>
      <c r="N79" s="18" t="s">
        <v>62</v>
      </c>
      <c r="O79" s="22" t="s">
        <v>62</v>
      </c>
      <c r="P79" s="18" t="s">
        <v>62</v>
      </c>
      <c r="Q79" s="18" t="s">
        <v>62</v>
      </c>
      <c r="R79" s="18" t="s">
        <v>62</v>
      </c>
      <c r="S79" s="22" t="s">
        <v>17</v>
      </c>
      <c r="T79" s="22" t="s">
        <v>62</v>
      </c>
      <c r="U79" s="18" t="s">
        <v>62</v>
      </c>
      <c r="V79" s="22" t="s">
        <v>62</v>
      </c>
      <c r="W79" s="18" t="s">
        <v>62</v>
      </c>
      <c r="X79" s="18" t="s">
        <v>62</v>
      </c>
      <c r="Y79" s="18" t="s">
        <v>62</v>
      </c>
      <c r="Z79" s="18" t="s">
        <v>17</v>
      </c>
      <c r="AA79" s="18" t="s">
        <v>18</v>
      </c>
      <c r="AB79" s="18" t="s">
        <v>62</v>
      </c>
      <c r="AC79" s="18" t="s">
        <v>62</v>
      </c>
      <c r="AD79" s="18" t="s">
        <v>62</v>
      </c>
      <c r="AE79" s="18" t="s">
        <v>222</v>
      </c>
      <c r="AF79" s="18" t="s">
        <v>222</v>
      </c>
      <c r="AG79" s="18" t="s">
        <v>222</v>
      </c>
      <c r="AH79" s="18" t="s">
        <v>222</v>
      </c>
      <c r="AI79" s="18" t="s">
        <v>222</v>
      </c>
      <c r="AJ79" s="18" t="s">
        <v>222</v>
      </c>
      <c r="AK79" s="18" t="s">
        <v>222</v>
      </c>
      <c r="AL79" s="18" t="s">
        <v>222</v>
      </c>
      <c r="AM79" s="18" t="s">
        <v>222</v>
      </c>
      <c r="AN79" s="18">
        <f t="shared" si="0"/>
        <v>16</v>
      </c>
      <c r="AO79" s="18">
        <f t="shared" si="97"/>
        <v>2</v>
      </c>
      <c r="AP79" s="18">
        <f t="shared" si="98"/>
        <v>1</v>
      </c>
      <c r="AQ79" s="18">
        <f t="shared" si="99"/>
        <v>0</v>
      </c>
      <c r="AR79" s="18">
        <f t="shared" si="100"/>
        <v>0</v>
      </c>
      <c r="AS79" s="18">
        <f t="shared" si="101"/>
        <v>0</v>
      </c>
      <c r="AT79" s="18">
        <f t="shared" si="102"/>
        <v>0</v>
      </c>
      <c r="AU79" s="18">
        <f t="shared" si="103"/>
        <v>0</v>
      </c>
      <c r="AV79" s="18">
        <f t="shared" si="104"/>
        <v>0</v>
      </c>
      <c r="AW79" s="18">
        <f t="shared" si="105"/>
        <v>0</v>
      </c>
      <c r="AX79" s="18">
        <f t="shared" si="106"/>
        <v>0</v>
      </c>
      <c r="AY79" s="18">
        <f t="shared" si="107"/>
        <v>0</v>
      </c>
      <c r="AZ79" s="23">
        <f t="shared" si="12"/>
        <v>19</v>
      </c>
      <c r="BA79" s="18">
        <f t="shared" si="13"/>
        <v>17</v>
      </c>
      <c r="BB79" s="24">
        <f t="shared" si="14"/>
        <v>19</v>
      </c>
      <c r="BC79" s="25">
        <f t="shared" si="15"/>
        <v>0.94117647058823528</v>
      </c>
      <c r="BD79" s="26">
        <f>VLOOKUP(B79,'Jan''26- Leave Bal'!$B$3:$D$83,3,0)</f>
        <v>0</v>
      </c>
      <c r="BE79" s="27">
        <f>VLOOKUP(B79,'Jan''26- Leave Bal'!$B$3:$E$83,4,0)+$BE$3</f>
        <v>0.5</v>
      </c>
      <c r="BF79" s="27">
        <f>VLOOKUP(B79,'Jan''26- Leave Bal'!$B$3:$F$83,5,0)+$BF$3</f>
        <v>0.5</v>
      </c>
      <c r="BG79" s="27">
        <f>VLOOKUP(B79,'Jan''26- Leave Bal'!$B$3:$G$83,6,0)+$BG$3</f>
        <v>2</v>
      </c>
      <c r="BH79" s="27">
        <f>VLOOKUP(B79,'Jan''26- Leave Bal'!$B$3:$H$83,7,0)</f>
        <v>15</v>
      </c>
      <c r="BI79" s="27">
        <f>VLOOKUP(B79,'Jan''26- Leave Bal'!$B$3:$I$83,8,0)+$BI$3</f>
        <v>0.75</v>
      </c>
      <c r="BJ79" s="28">
        <f t="shared" si="16"/>
        <v>0</v>
      </c>
      <c r="BK79" s="28">
        <f t="shared" si="17"/>
        <v>0.5</v>
      </c>
      <c r="BL79" s="28">
        <f t="shared" si="18"/>
        <v>0.5</v>
      </c>
      <c r="BM79" s="28">
        <f t="shared" si="19"/>
        <v>0</v>
      </c>
      <c r="BN79" s="28">
        <f t="shared" si="20"/>
        <v>0</v>
      </c>
      <c r="BO79" s="28">
        <f t="shared" si="21"/>
        <v>0</v>
      </c>
      <c r="BP79" s="28">
        <f t="shared" ref="BP79:BT79" si="117">BD79-BJ79</f>
        <v>0</v>
      </c>
      <c r="BQ79" s="26">
        <f t="shared" si="117"/>
        <v>0</v>
      </c>
      <c r="BR79" s="26">
        <f t="shared" si="117"/>
        <v>0</v>
      </c>
      <c r="BS79" s="26">
        <f t="shared" si="117"/>
        <v>2</v>
      </c>
      <c r="BT79" s="26">
        <f t="shared" si="117"/>
        <v>15</v>
      </c>
      <c r="BU79" s="26">
        <f t="shared" si="23"/>
        <v>0.75</v>
      </c>
      <c r="BW79" s="17" t="s">
        <v>254</v>
      </c>
    </row>
    <row r="80" spans="1:75" ht="12" x14ac:dyDescent="0.3">
      <c r="A80" s="18">
        <v>77</v>
      </c>
      <c r="B80" s="18" t="s">
        <v>241</v>
      </c>
      <c r="C80" s="50"/>
      <c r="D80" s="18" t="s">
        <v>219</v>
      </c>
      <c r="E80" s="18" t="s">
        <v>219</v>
      </c>
      <c r="F80" s="18" t="s">
        <v>219</v>
      </c>
      <c r="G80" s="18" t="s">
        <v>219</v>
      </c>
      <c r="H80" s="18">
        <v>7013815498</v>
      </c>
      <c r="I80" s="18" t="s">
        <v>242</v>
      </c>
      <c r="J80" s="20">
        <v>45292</v>
      </c>
      <c r="K80" s="29">
        <v>46058</v>
      </c>
      <c r="L80" s="18" t="s">
        <v>18</v>
      </c>
      <c r="M80" s="18" t="s">
        <v>18</v>
      </c>
      <c r="N80" s="18" t="s">
        <v>18</v>
      </c>
      <c r="O80" s="18" t="s">
        <v>18</v>
      </c>
      <c r="P80" s="18" t="s">
        <v>18</v>
      </c>
      <c r="Q80" s="18" t="s">
        <v>222</v>
      </c>
      <c r="R80" s="18" t="s">
        <v>222</v>
      </c>
      <c r="S80" s="18" t="s">
        <v>222</v>
      </c>
      <c r="T80" s="18" t="s">
        <v>222</v>
      </c>
      <c r="U80" s="18" t="s">
        <v>222</v>
      </c>
      <c r="V80" s="18" t="s">
        <v>222</v>
      </c>
      <c r="W80" s="18" t="s">
        <v>222</v>
      </c>
      <c r="X80" s="18" t="s">
        <v>222</v>
      </c>
      <c r="Y80" s="18" t="s">
        <v>222</v>
      </c>
      <c r="Z80" s="18" t="s">
        <v>222</v>
      </c>
      <c r="AA80" s="18" t="s">
        <v>222</v>
      </c>
      <c r="AB80" s="18" t="s">
        <v>222</v>
      </c>
      <c r="AC80" s="18" t="s">
        <v>222</v>
      </c>
      <c r="AD80" s="18" t="s">
        <v>222</v>
      </c>
      <c r="AE80" s="18" t="s">
        <v>222</v>
      </c>
      <c r="AF80" s="18" t="s">
        <v>222</v>
      </c>
      <c r="AG80" s="18" t="s">
        <v>222</v>
      </c>
      <c r="AH80" s="18" t="s">
        <v>222</v>
      </c>
      <c r="AI80" s="18" t="s">
        <v>222</v>
      </c>
      <c r="AJ80" s="18" t="s">
        <v>222</v>
      </c>
      <c r="AK80" s="18" t="s">
        <v>222</v>
      </c>
      <c r="AL80" s="18" t="s">
        <v>222</v>
      </c>
      <c r="AM80" s="18" t="s">
        <v>222</v>
      </c>
      <c r="AN80" s="18">
        <f t="shared" si="0"/>
        <v>0</v>
      </c>
      <c r="AO80" s="18">
        <f t="shared" si="97"/>
        <v>0</v>
      </c>
      <c r="AP80" s="18">
        <f t="shared" si="98"/>
        <v>5</v>
      </c>
      <c r="AQ80" s="18">
        <f t="shared" si="99"/>
        <v>0</v>
      </c>
      <c r="AR80" s="18">
        <f t="shared" si="100"/>
        <v>0</v>
      </c>
      <c r="AS80" s="18">
        <f t="shared" si="101"/>
        <v>0</v>
      </c>
      <c r="AT80" s="18">
        <f t="shared" si="102"/>
        <v>0</v>
      </c>
      <c r="AU80" s="18">
        <f t="shared" si="103"/>
        <v>0</v>
      </c>
      <c r="AV80" s="18">
        <f t="shared" si="104"/>
        <v>0</v>
      </c>
      <c r="AW80" s="18">
        <f t="shared" si="105"/>
        <v>0</v>
      </c>
      <c r="AX80" s="18">
        <f t="shared" si="106"/>
        <v>0</v>
      </c>
      <c r="AY80" s="18">
        <f t="shared" si="107"/>
        <v>0</v>
      </c>
      <c r="AZ80" s="23">
        <f t="shared" si="12"/>
        <v>5</v>
      </c>
      <c r="BA80" s="18">
        <f t="shared" si="13"/>
        <v>5</v>
      </c>
      <c r="BB80" s="24">
        <f t="shared" si="14"/>
        <v>2</v>
      </c>
      <c r="BC80" s="25">
        <f t="shared" si="15"/>
        <v>0</v>
      </c>
      <c r="BD80" s="26">
        <f>VLOOKUP(B80,'Jan''26- Leave Bal'!$B$3:$D$83,3,0)</f>
        <v>0</v>
      </c>
      <c r="BE80" s="27">
        <f>VLOOKUP(B80,'Jan''26- Leave Bal'!$B$3:$E$83,4,0)+$BE$3</f>
        <v>0.5</v>
      </c>
      <c r="BF80" s="27">
        <f>VLOOKUP(B80,'Jan''26- Leave Bal'!$B$3:$F$83,5,0)+$BF$3</f>
        <v>0.5</v>
      </c>
      <c r="BG80" s="27">
        <f>VLOOKUP(B80,'Jan''26- Leave Bal'!$B$3:$G$83,6,0)+$BG$3</f>
        <v>1</v>
      </c>
      <c r="BH80" s="27">
        <f>VLOOKUP(B80,'Jan''26- Leave Bal'!$B$3:$H$83,7,0)</f>
        <v>6</v>
      </c>
      <c r="BI80" s="27">
        <f>VLOOKUP(B80,'Jan''26- Leave Bal'!$B$3:$I$83,8,0)+$BI$3</f>
        <v>0.75</v>
      </c>
      <c r="BJ80" s="28">
        <f t="shared" si="16"/>
        <v>0</v>
      </c>
      <c r="BK80" s="28">
        <f t="shared" si="17"/>
        <v>0.5</v>
      </c>
      <c r="BL80" s="28">
        <f t="shared" si="18"/>
        <v>0.5</v>
      </c>
      <c r="BM80" s="28">
        <f t="shared" si="19"/>
        <v>1</v>
      </c>
      <c r="BN80" s="28">
        <f t="shared" si="20"/>
        <v>0</v>
      </c>
      <c r="BO80" s="28">
        <f t="shared" si="21"/>
        <v>3</v>
      </c>
      <c r="BP80" s="28">
        <f t="shared" ref="BP80:BT80" si="118">BD80-BJ80</f>
        <v>0</v>
      </c>
      <c r="BQ80" s="26">
        <f t="shared" si="118"/>
        <v>0</v>
      </c>
      <c r="BR80" s="26">
        <f t="shared" si="118"/>
        <v>0</v>
      </c>
      <c r="BS80" s="26">
        <f t="shared" si="118"/>
        <v>0</v>
      </c>
      <c r="BT80" s="26">
        <f t="shared" si="118"/>
        <v>6</v>
      </c>
      <c r="BU80" s="26">
        <f t="shared" si="23"/>
        <v>0.75</v>
      </c>
      <c r="BW80" s="17">
        <v>0</v>
      </c>
    </row>
    <row r="81" spans="1:75" ht="12" x14ac:dyDescent="0.3">
      <c r="A81" s="18">
        <v>78</v>
      </c>
      <c r="B81" s="18" t="s">
        <v>243</v>
      </c>
      <c r="C81" s="50"/>
      <c r="D81" s="18" t="s">
        <v>219</v>
      </c>
      <c r="E81" s="18" t="s">
        <v>219</v>
      </c>
      <c r="F81" s="18" t="s">
        <v>219</v>
      </c>
      <c r="G81" s="18" t="s">
        <v>219</v>
      </c>
      <c r="H81" s="18">
        <v>9963473095</v>
      </c>
      <c r="I81" s="18" t="s">
        <v>244</v>
      </c>
      <c r="J81" s="20">
        <v>44426</v>
      </c>
      <c r="K81" s="29">
        <v>46059</v>
      </c>
      <c r="L81" s="18" t="s">
        <v>62</v>
      </c>
      <c r="M81" s="18" t="s">
        <v>62</v>
      </c>
      <c r="N81" s="18" t="s">
        <v>62</v>
      </c>
      <c r="O81" s="22" t="s">
        <v>62</v>
      </c>
      <c r="P81" s="18" t="s">
        <v>18</v>
      </c>
      <c r="Q81" s="18" t="s">
        <v>18</v>
      </c>
      <c r="R81" s="18" t="s">
        <v>222</v>
      </c>
      <c r="S81" s="18" t="s">
        <v>222</v>
      </c>
      <c r="T81" s="18" t="s">
        <v>222</v>
      </c>
      <c r="U81" s="18" t="s">
        <v>222</v>
      </c>
      <c r="V81" s="18" t="s">
        <v>222</v>
      </c>
      <c r="W81" s="18" t="s">
        <v>222</v>
      </c>
      <c r="X81" s="18" t="s">
        <v>222</v>
      </c>
      <c r="Y81" s="18" t="s">
        <v>222</v>
      </c>
      <c r="Z81" s="18" t="s">
        <v>222</v>
      </c>
      <c r="AA81" s="18" t="s">
        <v>222</v>
      </c>
      <c r="AB81" s="18" t="s">
        <v>222</v>
      </c>
      <c r="AC81" s="18" t="s">
        <v>222</v>
      </c>
      <c r="AD81" s="18" t="s">
        <v>222</v>
      </c>
      <c r="AE81" s="18" t="s">
        <v>222</v>
      </c>
      <c r="AF81" s="18" t="s">
        <v>222</v>
      </c>
      <c r="AG81" s="18" t="s">
        <v>222</v>
      </c>
      <c r="AH81" s="18" t="s">
        <v>222</v>
      </c>
      <c r="AI81" s="18" t="s">
        <v>222</v>
      </c>
      <c r="AJ81" s="18" t="s">
        <v>222</v>
      </c>
      <c r="AK81" s="18" t="s">
        <v>222</v>
      </c>
      <c r="AL81" s="18" t="s">
        <v>222</v>
      </c>
      <c r="AM81" s="18" t="s">
        <v>222</v>
      </c>
      <c r="AN81" s="18">
        <f t="shared" si="0"/>
        <v>4</v>
      </c>
      <c r="AO81" s="18">
        <f t="shared" si="97"/>
        <v>0</v>
      </c>
      <c r="AP81" s="18">
        <f t="shared" si="98"/>
        <v>2</v>
      </c>
      <c r="AQ81" s="18">
        <f t="shared" si="99"/>
        <v>0</v>
      </c>
      <c r="AR81" s="18">
        <f t="shared" si="100"/>
        <v>0</v>
      </c>
      <c r="AS81" s="18">
        <f t="shared" si="101"/>
        <v>0</v>
      </c>
      <c r="AT81" s="18">
        <f t="shared" si="102"/>
        <v>0</v>
      </c>
      <c r="AU81" s="18">
        <f t="shared" si="103"/>
        <v>0</v>
      </c>
      <c r="AV81" s="18">
        <f t="shared" si="104"/>
        <v>0</v>
      </c>
      <c r="AW81" s="18">
        <f t="shared" si="105"/>
        <v>0</v>
      </c>
      <c r="AX81" s="18">
        <f t="shared" si="106"/>
        <v>0</v>
      </c>
      <c r="AY81" s="18">
        <f t="shared" si="107"/>
        <v>0</v>
      </c>
      <c r="AZ81" s="23">
        <f t="shared" si="12"/>
        <v>6</v>
      </c>
      <c r="BA81" s="18">
        <f t="shared" si="13"/>
        <v>6</v>
      </c>
      <c r="BB81" s="24">
        <f t="shared" si="14"/>
        <v>6</v>
      </c>
      <c r="BC81" s="25">
        <f t="shared" si="15"/>
        <v>0.66666666666666663</v>
      </c>
      <c r="BD81" s="26">
        <f>VLOOKUP(B81,'Jan''26- Leave Bal'!$B$3:$D$83,3,0)</f>
        <v>0</v>
      </c>
      <c r="BE81" s="27">
        <f>VLOOKUP(B81,'Jan''26- Leave Bal'!$B$3:$E$83,4,0)+$BE$3</f>
        <v>0.5</v>
      </c>
      <c r="BF81" s="27">
        <f>VLOOKUP(B81,'Jan''26- Leave Bal'!$B$3:$F$83,5,0)+$BF$3</f>
        <v>4.5</v>
      </c>
      <c r="BG81" s="27">
        <f>VLOOKUP(B81,'Jan''26- Leave Bal'!$B$3:$G$83,6,0)+$BG$3</f>
        <v>13</v>
      </c>
      <c r="BH81" s="27">
        <f>VLOOKUP(B81,'Jan''26- Leave Bal'!$B$3:$H$83,7,0)</f>
        <v>15</v>
      </c>
      <c r="BI81" s="27">
        <f>VLOOKUP(B81,'Jan''26- Leave Bal'!$B$3:$I$83,8,0)+$BI$3</f>
        <v>0.75</v>
      </c>
      <c r="BJ81" s="28">
        <f t="shared" si="16"/>
        <v>0</v>
      </c>
      <c r="BK81" s="28">
        <f t="shared" si="17"/>
        <v>0.5</v>
      </c>
      <c r="BL81" s="28">
        <f t="shared" si="18"/>
        <v>1.5</v>
      </c>
      <c r="BM81" s="28">
        <f t="shared" si="19"/>
        <v>0</v>
      </c>
      <c r="BN81" s="28">
        <f t="shared" si="20"/>
        <v>0</v>
      </c>
      <c r="BO81" s="28">
        <f t="shared" si="21"/>
        <v>0</v>
      </c>
      <c r="BP81" s="28">
        <f t="shared" ref="BP81:BT81" si="119">BD81-BJ81</f>
        <v>0</v>
      </c>
      <c r="BQ81" s="26">
        <f t="shared" si="119"/>
        <v>0</v>
      </c>
      <c r="BR81" s="26">
        <f t="shared" si="119"/>
        <v>3</v>
      </c>
      <c r="BS81" s="26">
        <f t="shared" si="119"/>
        <v>13</v>
      </c>
      <c r="BT81" s="26">
        <f t="shared" si="119"/>
        <v>15</v>
      </c>
      <c r="BU81" s="26">
        <f t="shared" si="23"/>
        <v>0.75</v>
      </c>
      <c r="BW81" s="17" t="s">
        <v>254</v>
      </c>
    </row>
    <row r="82" spans="1:75" ht="12" x14ac:dyDescent="0.3">
      <c r="A82" s="18">
        <v>79</v>
      </c>
      <c r="B82" s="18" t="s">
        <v>245</v>
      </c>
      <c r="C82" s="50"/>
      <c r="D82" s="18" t="s">
        <v>219</v>
      </c>
      <c r="E82" s="18" t="s">
        <v>219</v>
      </c>
      <c r="F82" s="18" t="s">
        <v>219</v>
      </c>
      <c r="G82" s="18" t="s">
        <v>219</v>
      </c>
      <c r="H82" s="18">
        <v>9705036334</v>
      </c>
      <c r="I82" s="18" t="s">
        <v>246</v>
      </c>
      <c r="J82" s="29">
        <v>44342</v>
      </c>
      <c r="K82" s="29">
        <v>46059</v>
      </c>
      <c r="L82" s="22" t="s">
        <v>17</v>
      </c>
      <c r="M82" s="18" t="s">
        <v>62</v>
      </c>
      <c r="N82" s="22" t="s">
        <v>18</v>
      </c>
      <c r="O82" s="18" t="s">
        <v>62</v>
      </c>
      <c r="P82" s="18" t="s">
        <v>18</v>
      </c>
      <c r="Q82" s="18" t="s">
        <v>18</v>
      </c>
      <c r="R82" s="18" t="s">
        <v>222</v>
      </c>
      <c r="S82" s="18" t="s">
        <v>222</v>
      </c>
      <c r="T82" s="18" t="s">
        <v>222</v>
      </c>
      <c r="U82" s="18" t="s">
        <v>222</v>
      </c>
      <c r="V82" s="18" t="s">
        <v>222</v>
      </c>
      <c r="W82" s="18" t="s">
        <v>222</v>
      </c>
      <c r="X82" s="18" t="s">
        <v>222</v>
      </c>
      <c r="Y82" s="18" t="s">
        <v>222</v>
      </c>
      <c r="Z82" s="18" t="s">
        <v>222</v>
      </c>
      <c r="AA82" s="18" t="s">
        <v>222</v>
      </c>
      <c r="AB82" s="18" t="s">
        <v>222</v>
      </c>
      <c r="AC82" s="18" t="s">
        <v>222</v>
      </c>
      <c r="AD82" s="18" t="s">
        <v>222</v>
      </c>
      <c r="AE82" s="18" t="s">
        <v>222</v>
      </c>
      <c r="AF82" s="18" t="s">
        <v>222</v>
      </c>
      <c r="AG82" s="18" t="s">
        <v>222</v>
      </c>
      <c r="AH82" s="18" t="s">
        <v>222</v>
      </c>
      <c r="AI82" s="18" t="s">
        <v>222</v>
      </c>
      <c r="AJ82" s="18" t="s">
        <v>222</v>
      </c>
      <c r="AK82" s="18" t="s">
        <v>222</v>
      </c>
      <c r="AL82" s="18" t="s">
        <v>222</v>
      </c>
      <c r="AM82" s="18" t="s">
        <v>222</v>
      </c>
      <c r="AN82" s="18">
        <f t="shared" si="0"/>
        <v>2</v>
      </c>
      <c r="AO82" s="18">
        <f t="shared" si="97"/>
        <v>1</v>
      </c>
      <c r="AP82" s="18">
        <f t="shared" si="98"/>
        <v>3</v>
      </c>
      <c r="AQ82" s="18">
        <f t="shared" si="99"/>
        <v>0</v>
      </c>
      <c r="AR82" s="18">
        <f t="shared" si="100"/>
        <v>0</v>
      </c>
      <c r="AS82" s="18">
        <f t="shared" si="101"/>
        <v>0</v>
      </c>
      <c r="AT82" s="18">
        <f t="shared" si="102"/>
        <v>0</v>
      </c>
      <c r="AU82" s="18">
        <f t="shared" si="103"/>
        <v>0</v>
      </c>
      <c r="AV82" s="18">
        <f t="shared" si="104"/>
        <v>0</v>
      </c>
      <c r="AW82" s="18">
        <f t="shared" si="105"/>
        <v>0</v>
      </c>
      <c r="AX82" s="18">
        <f t="shared" si="106"/>
        <v>0</v>
      </c>
      <c r="AY82" s="18">
        <f t="shared" si="107"/>
        <v>0</v>
      </c>
      <c r="AZ82" s="23">
        <f t="shared" si="12"/>
        <v>6</v>
      </c>
      <c r="BA82" s="18">
        <f t="shared" si="13"/>
        <v>5</v>
      </c>
      <c r="BB82" s="24">
        <f t="shared" si="14"/>
        <v>5</v>
      </c>
      <c r="BC82" s="25">
        <f t="shared" si="15"/>
        <v>0.4</v>
      </c>
      <c r="BD82" s="26">
        <f>VLOOKUP(B82,'Jan''26- Leave Bal'!$B$3:$D$83,3,0)</f>
        <v>0</v>
      </c>
      <c r="BE82" s="27">
        <f>VLOOKUP(B82,'Jan''26- Leave Bal'!$B$3:$E$83,4,0)+$BE$3</f>
        <v>0.5</v>
      </c>
      <c r="BF82" s="27">
        <f>VLOOKUP(B82,'Jan''26- Leave Bal'!$B$3:$F$83,5,0)+$BF$3</f>
        <v>0.5</v>
      </c>
      <c r="BG82" s="27">
        <f>VLOOKUP(B82,'Jan''26- Leave Bal'!$B$3:$G$83,6,0)+$BG$3</f>
        <v>1</v>
      </c>
      <c r="BH82" s="27">
        <f>VLOOKUP(B82,'Jan''26- Leave Bal'!$B$3:$H$83,7,0)</f>
        <v>15</v>
      </c>
      <c r="BI82" s="27">
        <f>VLOOKUP(B82,'Jan''26- Leave Bal'!$B$3:$I$83,8,0)+$BI$3</f>
        <v>0.75</v>
      </c>
      <c r="BJ82" s="28">
        <f t="shared" si="16"/>
        <v>0</v>
      </c>
      <c r="BK82" s="28">
        <f t="shared" si="17"/>
        <v>0.5</v>
      </c>
      <c r="BL82" s="28">
        <f t="shared" si="18"/>
        <v>0.5</v>
      </c>
      <c r="BM82" s="28">
        <f t="shared" si="19"/>
        <v>1</v>
      </c>
      <c r="BN82" s="28">
        <f t="shared" si="20"/>
        <v>0</v>
      </c>
      <c r="BO82" s="28">
        <f t="shared" si="21"/>
        <v>1</v>
      </c>
      <c r="BP82" s="28">
        <f t="shared" ref="BP82:BT82" si="120">BD82-BJ82</f>
        <v>0</v>
      </c>
      <c r="BQ82" s="26">
        <f t="shared" si="120"/>
        <v>0</v>
      </c>
      <c r="BR82" s="26">
        <f t="shared" si="120"/>
        <v>0</v>
      </c>
      <c r="BS82" s="26">
        <f t="shared" si="120"/>
        <v>0</v>
      </c>
      <c r="BT82" s="26">
        <f t="shared" si="120"/>
        <v>15</v>
      </c>
      <c r="BU82" s="26">
        <f t="shared" si="23"/>
        <v>0.75</v>
      </c>
      <c r="BW82" s="17">
        <v>0</v>
      </c>
    </row>
    <row r="83" spans="1:75" ht="12" x14ac:dyDescent="0.3">
      <c r="A83" s="18">
        <v>80</v>
      </c>
      <c r="B83" s="18" t="s">
        <v>247</v>
      </c>
      <c r="C83" s="50"/>
      <c r="D83" s="18" t="s">
        <v>219</v>
      </c>
      <c r="E83" s="18" t="s">
        <v>219</v>
      </c>
      <c r="F83" s="18" t="s">
        <v>219</v>
      </c>
      <c r="G83" s="18" t="s">
        <v>219</v>
      </c>
      <c r="H83" s="18">
        <v>9392752375</v>
      </c>
      <c r="I83" s="18" t="s">
        <v>248</v>
      </c>
      <c r="J83" s="20">
        <v>45217</v>
      </c>
      <c r="K83" s="29">
        <v>46062</v>
      </c>
      <c r="L83" s="18" t="s">
        <v>62</v>
      </c>
      <c r="M83" s="18" t="s">
        <v>62</v>
      </c>
      <c r="N83" s="22" t="s">
        <v>62</v>
      </c>
      <c r="O83" s="18" t="s">
        <v>62</v>
      </c>
      <c r="P83" s="18" t="s">
        <v>18</v>
      </c>
      <c r="Q83" s="22" t="s">
        <v>17</v>
      </c>
      <c r="R83" s="18" t="s">
        <v>18</v>
      </c>
      <c r="S83" s="18" t="s">
        <v>18</v>
      </c>
      <c r="T83" s="18" t="s">
        <v>18</v>
      </c>
      <c r="U83" s="18" t="s">
        <v>222</v>
      </c>
      <c r="V83" s="18" t="s">
        <v>222</v>
      </c>
      <c r="W83" s="18" t="s">
        <v>222</v>
      </c>
      <c r="X83" s="18" t="s">
        <v>222</v>
      </c>
      <c r="Y83" s="18" t="s">
        <v>222</v>
      </c>
      <c r="Z83" s="18" t="s">
        <v>222</v>
      </c>
      <c r="AA83" s="18" t="s">
        <v>222</v>
      </c>
      <c r="AB83" s="18" t="s">
        <v>222</v>
      </c>
      <c r="AC83" s="18" t="s">
        <v>222</v>
      </c>
      <c r="AD83" s="18" t="s">
        <v>222</v>
      </c>
      <c r="AE83" s="18" t="s">
        <v>222</v>
      </c>
      <c r="AF83" s="18" t="s">
        <v>222</v>
      </c>
      <c r="AG83" s="18" t="s">
        <v>222</v>
      </c>
      <c r="AH83" s="18" t="s">
        <v>222</v>
      </c>
      <c r="AI83" s="18" t="s">
        <v>222</v>
      </c>
      <c r="AJ83" s="18" t="s">
        <v>222</v>
      </c>
      <c r="AK83" s="18" t="s">
        <v>222</v>
      </c>
      <c r="AL83" s="18" t="s">
        <v>222</v>
      </c>
      <c r="AM83" s="18" t="s">
        <v>222</v>
      </c>
      <c r="AN83" s="18">
        <f t="shared" si="0"/>
        <v>4</v>
      </c>
      <c r="AO83" s="18">
        <f t="shared" si="97"/>
        <v>1</v>
      </c>
      <c r="AP83" s="18">
        <f t="shared" si="98"/>
        <v>4</v>
      </c>
      <c r="AQ83" s="18">
        <f t="shared" si="99"/>
        <v>0</v>
      </c>
      <c r="AR83" s="18">
        <f t="shared" si="100"/>
        <v>0</v>
      </c>
      <c r="AS83" s="18">
        <f t="shared" si="101"/>
        <v>0</v>
      </c>
      <c r="AT83" s="18">
        <f t="shared" si="102"/>
        <v>0</v>
      </c>
      <c r="AU83" s="18">
        <f t="shared" si="103"/>
        <v>0</v>
      </c>
      <c r="AV83" s="18">
        <f t="shared" si="104"/>
        <v>0</v>
      </c>
      <c r="AW83" s="18">
        <f t="shared" si="105"/>
        <v>0</v>
      </c>
      <c r="AX83" s="18">
        <f t="shared" si="106"/>
        <v>0</v>
      </c>
      <c r="AY83" s="18">
        <f t="shared" si="107"/>
        <v>0</v>
      </c>
      <c r="AZ83" s="23">
        <f t="shared" si="12"/>
        <v>9</v>
      </c>
      <c r="BA83" s="18">
        <f t="shared" si="13"/>
        <v>8</v>
      </c>
      <c r="BB83" s="24">
        <f t="shared" si="14"/>
        <v>9</v>
      </c>
      <c r="BC83" s="25">
        <f t="shared" si="15"/>
        <v>0.5</v>
      </c>
      <c r="BD83" s="26">
        <f>VLOOKUP(B83,'Jan''26- Leave Bal'!$B$3:$D$83,3,0)</f>
        <v>0</v>
      </c>
      <c r="BE83" s="27">
        <f>VLOOKUP(B83,'Jan''26- Leave Bal'!$B$3:$E$83,4,0)+$BE$3</f>
        <v>1</v>
      </c>
      <c r="BF83" s="27">
        <f>VLOOKUP(B83,'Jan''26- Leave Bal'!$B$3:$F$83,5,0)+$BF$3</f>
        <v>1</v>
      </c>
      <c r="BG83" s="27">
        <f>VLOOKUP(B83,'Jan''26- Leave Bal'!$B$3:$G$83,6,0)+$BG$3</f>
        <v>11</v>
      </c>
      <c r="BH83" s="27">
        <f>VLOOKUP(B83,'Jan''26- Leave Bal'!$B$3:$H$83,7,0)</f>
        <v>15</v>
      </c>
      <c r="BI83" s="27">
        <f>VLOOKUP(B83,'Jan''26- Leave Bal'!$B$3:$I$83,8,0)+$BI$3</f>
        <v>0.75</v>
      </c>
      <c r="BJ83" s="28">
        <f t="shared" si="16"/>
        <v>0</v>
      </c>
      <c r="BK83" s="28">
        <f t="shared" si="17"/>
        <v>1</v>
      </c>
      <c r="BL83" s="28">
        <f t="shared" si="18"/>
        <v>1</v>
      </c>
      <c r="BM83" s="28">
        <f t="shared" si="19"/>
        <v>2</v>
      </c>
      <c r="BN83" s="28">
        <f t="shared" si="20"/>
        <v>0</v>
      </c>
      <c r="BO83" s="28">
        <f t="shared" si="21"/>
        <v>0</v>
      </c>
      <c r="BP83" s="28">
        <f t="shared" ref="BP83:BT83" si="121">BD83-BJ83</f>
        <v>0</v>
      </c>
      <c r="BQ83" s="26">
        <f t="shared" si="121"/>
        <v>0</v>
      </c>
      <c r="BR83" s="26">
        <f t="shared" si="121"/>
        <v>0</v>
      </c>
      <c r="BS83" s="26">
        <f t="shared" si="121"/>
        <v>9</v>
      </c>
      <c r="BT83" s="26">
        <f t="shared" si="121"/>
        <v>15</v>
      </c>
      <c r="BU83" s="26">
        <f t="shared" si="23"/>
        <v>0.75</v>
      </c>
      <c r="BW83" s="17" t="s">
        <v>254</v>
      </c>
    </row>
    <row r="84" spans="1:75" ht="12" x14ac:dyDescent="0.3">
      <c r="A84" s="18">
        <v>81</v>
      </c>
      <c r="B84" s="18" t="s">
        <v>249</v>
      </c>
      <c r="C84" s="50"/>
      <c r="D84" s="18" t="s">
        <v>219</v>
      </c>
      <c r="E84" s="18" t="s">
        <v>219</v>
      </c>
      <c r="F84" s="18" t="s">
        <v>219</v>
      </c>
      <c r="G84" s="18" t="s">
        <v>219</v>
      </c>
      <c r="H84" s="18">
        <v>7207160110</v>
      </c>
      <c r="I84" s="18" t="s">
        <v>250</v>
      </c>
      <c r="J84" s="20">
        <v>45033</v>
      </c>
      <c r="K84" s="29">
        <v>46060</v>
      </c>
      <c r="L84" s="18" t="s">
        <v>18</v>
      </c>
      <c r="M84" s="18" t="s">
        <v>18</v>
      </c>
      <c r="N84" s="18" t="s">
        <v>18</v>
      </c>
      <c r="O84" s="18" t="s">
        <v>18</v>
      </c>
      <c r="P84" s="18" t="s">
        <v>18</v>
      </c>
      <c r="Q84" s="18" t="s">
        <v>18</v>
      </c>
      <c r="R84" s="18" t="s">
        <v>23</v>
      </c>
      <c r="S84" s="18" t="s">
        <v>222</v>
      </c>
      <c r="T84" s="18" t="s">
        <v>222</v>
      </c>
      <c r="U84" s="18" t="s">
        <v>222</v>
      </c>
      <c r="V84" s="18" t="s">
        <v>222</v>
      </c>
      <c r="W84" s="18" t="s">
        <v>222</v>
      </c>
      <c r="X84" s="18" t="s">
        <v>222</v>
      </c>
      <c r="Y84" s="18" t="s">
        <v>222</v>
      </c>
      <c r="Z84" s="18" t="s">
        <v>222</v>
      </c>
      <c r="AA84" s="18" t="s">
        <v>222</v>
      </c>
      <c r="AB84" s="18" t="s">
        <v>222</v>
      </c>
      <c r="AC84" s="18" t="s">
        <v>222</v>
      </c>
      <c r="AD84" s="18" t="s">
        <v>222</v>
      </c>
      <c r="AE84" s="18" t="s">
        <v>222</v>
      </c>
      <c r="AF84" s="18" t="s">
        <v>222</v>
      </c>
      <c r="AG84" s="18" t="s">
        <v>222</v>
      </c>
      <c r="AH84" s="18" t="s">
        <v>222</v>
      </c>
      <c r="AI84" s="18" t="s">
        <v>222</v>
      </c>
      <c r="AJ84" s="18" t="s">
        <v>222</v>
      </c>
      <c r="AK84" s="18" t="s">
        <v>222</v>
      </c>
      <c r="AL84" s="18" t="s">
        <v>222</v>
      </c>
      <c r="AM84" s="18" t="s">
        <v>222</v>
      </c>
      <c r="AN84" s="18">
        <f t="shared" si="0"/>
        <v>0</v>
      </c>
      <c r="AO84" s="18">
        <f t="shared" si="97"/>
        <v>0</v>
      </c>
      <c r="AP84" s="18">
        <f t="shared" si="98"/>
        <v>6</v>
      </c>
      <c r="AQ84" s="18">
        <f t="shared" si="99"/>
        <v>0</v>
      </c>
      <c r="AR84" s="18">
        <f t="shared" si="100"/>
        <v>0</v>
      </c>
      <c r="AS84" s="18">
        <f t="shared" si="101"/>
        <v>0</v>
      </c>
      <c r="AT84" s="18">
        <f t="shared" si="102"/>
        <v>0</v>
      </c>
      <c r="AU84" s="18">
        <f t="shared" si="103"/>
        <v>1</v>
      </c>
      <c r="AV84" s="18">
        <f t="shared" si="104"/>
        <v>0</v>
      </c>
      <c r="AW84" s="18">
        <f t="shared" si="105"/>
        <v>0</v>
      </c>
      <c r="AX84" s="18">
        <f t="shared" si="106"/>
        <v>0</v>
      </c>
      <c r="AY84" s="18">
        <f t="shared" si="107"/>
        <v>0</v>
      </c>
      <c r="AZ84" s="23">
        <f t="shared" si="12"/>
        <v>7</v>
      </c>
      <c r="BA84" s="18">
        <f t="shared" si="13"/>
        <v>7</v>
      </c>
      <c r="BB84" s="24">
        <f t="shared" si="14"/>
        <v>2</v>
      </c>
      <c r="BC84" s="25">
        <f t="shared" si="15"/>
        <v>0</v>
      </c>
      <c r="BD84" s="26">
        <f>VLOOKUP(B84,'Jan''26- Leave Bal'!$B$3:$D$83,3,0)</f>
        <v>0</v>
      </c>
      <c r="BE84" s="27">
        <f>VLOOKUP(B84,'Jan''26- Leave Bal'!$B$3:$E$83,4,0)+$BE$3</f>
        <v>0.5</v>
      </c>
      <c r="BF84" s="27">
        <f>VLOOKUP(B84,'Jan''26- Leave Bal'!$B$3:$F$83,5,0)+$BF$3</f>
        <v>0.5</v>
      </c>
      <c r="BG84" s="27">
        <f>VLOOKUP(B84,'Jan''26- Leave Bal'!$B$3:$G$83,6,0)+$BG$3</f>
        <v>1</v>
      </c>
      <c r="BH84" s="27">
        <f>VLOOKUP(B84,'Jan''26- Leave Bal'!$B$3:$H$83,7,0)</f>
        <v>0</v>
      </c>
      <c r="BI84" s="27">
        <f>VLOOKUP(B84,'Jan''26- Leave Bal'!$B$3:$I$83,8,0)+$BI$3</f>
        <v>0.75</v>
      </c>
      <c r="BJ84" s="28">
        <f t="shared" si="16"/>
        <v>0</v>
      </c>
      <c r="BK84" s="28">
        <f t="shared" si="17"/>
        <v>0.5</v>
      </c>
      <c r="BL84" s="28">
        <f t="shared" si="18"/>
        <v>0.5</v>
      </c>
      <c r="BM84" s="28">
        <f t="shared" si="19"/>
        <v>1</v>
      </c>
      <c r="BN84" s="28">
        <f t="shared" si="20"/>
        <v>0</v>
      </c>
      <c r="BO84" s="28">
        <f t="shared" si="21"/>
        <v>4</v>
      </c>
      <c r="BP84" s="28">
        <f t="shared" ref="BP84:BT84" si="122">BD84-BJ84</f>
        <v>0</v>
      </c>
      <c r="BQ84" s="26">
        <f t="shared" si="122"/>
        <v>0</v>
      </c>
      <c r="BR84" s="26">
        <f t="shared" si="122"/>
        <v>0</v>
      </c>
      <c r="BS84" s="26">
        <f t="shared" si="122"/>
        <v>0</v>
      </c>
      <c r="BT84" s="26">
        <f t="shared" si="122"/>
        <v>0</v>
      </c>
      <c r="BU84" s="26">
        <f t="shared" si="23"/>
        <v>0.75</v>
      </c>
      <c r="BW84" s="17">
        <v>0</v>
      </c>
    </row>
    <row r="85" spans="1:75" ht="12" x14ac:dyDescent="0.3"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3"/>
      <c r="AE85" s="43"/>
      <c r="AF85" s="42"/>
      <c r="AH85" s="42"/>
      <c r="AI85" s="42"/>
      <c r="AJ85" s="42"/>
      <c r="AK85" s="42"/>
      <c r="AL85" s="42"/>
      <c r="AM85" s="42"/>
      <c r="BB85" s="44">
        <f>SUM(BB4:BB84)</f>
        <v>2011</v>
      </c>
    </row>
    <row r="86" spans="1:75" ht="12" x14ac:dyDescent="0.3"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3"/>
      <c r="AE86" s="43"/>
      <c r="AF86" s="42"/>
      <c r="AH86" s="42"/>
      <c r="AI86" s="42"/>
      <c r="AJ86" s="42"/>
      <c r="AK86" s="42"/>
      <c r="AL86" s="42"/>
      <c r="AM86" s="42"/>
      <c r="BB86" s="117">
        <f>BB85-BB11</f>
        <v>1983</v>
      </c>
    </row>
    <row r="87" spans="1:75" ht="12" x14ac:dyDescent="0.3"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3"/>
      <c r="AE87" s="43"/>
      <c r="AF87" s="42"/>
      <c r="AH87" s="42"/>
      <c r="AI87" s="42"/>
      <c r="AJ87" s="42"/>
      <c r="AK87" s="42"/>
      <c r="AL87" s="42"/>
      <c r="AM87" s="42"/>
    </row>
    <row r="88" spans="1:75" ht="12" x14ac:dyDescent="0.3"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3"/>
      <c r="AE88" s="43"/>
      <c r="AF88" s="42"/>
      <c r="AH88" s="42"/>
      <c r="AI88" s="42"/>
      <c r="AJ88" s="42"/>
      <c r="AK88" s="42"/>
      <c r="AL88" s="42"/>
      <c r="AM88" s="42"/>
    </row>
    <row r="89" spans="1:75" ht="12" x14ac:dyDescent="0.3"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3"/>
      <c r="AE89" s="43"/>
      <c r="AF89" s="42"/>
      <c r="AH89" s="42"/>
      <c r="AI89" s="42"/>
      <c r="AJ89" s="42"/>
      <c r="AK89" s="42"/>
      <c r="AL89" s="42"/>
      <c r="AM89" s="42"/>
    </row>
    <row r="90" spans="1:75" ht="12" x14ac:dyDescent="0.3"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3"/>
      <c r="AE90" s="43"/>
      <c r="AF90" s="42"/>
      <c r="AH90" s="42"/>
      <c r="AI90" s="42"/>
      <c r="AJ90" s="42"/>
      <c r="AK90" s="42"/>
      <c r="AL90" s="42"/>
      <c r="AM90" s="42"/>
    </row>
    <row r="91" spans="1:75" ht="12" x14ac:dyDescent="0.3"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3"/>
      <c r="AE91" s="43"/>
      <c r="AF91" s="42"/>
      <c r="AG91" s="42"/>
      <c r="AH91" s="42"/>
      <c r="AI91" s="42"/>
      <c r="AJ91" s="42"/>
      <c r="AK91" s="42"/>
      <c r="AL91" s="42"/>
      <c r="AM91" s="42"/>
    </row>
    <row r="92" spans="1:75" ht="12" x14ac:dyDescent="0.3"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3"/>
      <c r="AE92" s="43"/>
      <c r="AF92" s="42"/>
      <c r="AG92" s="42"/>
      <c r="AH92" s="42"/>
      <c r="AI92" s="42"/>
      <c r="AJ92" s="42"/>
      <c r="AK92" s="42"/>
      <c r="AL92" s="42"/>
      <c r="AM92" s="42"/>
    </row>
    <row r="93" spans="1:75" ht="12" x14ac:dyDescent="0.3"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3"/>
      <c r="AE93" s="43"/>
      <c r="AF93" s="42"/>
      <c r="AG93" s="42"/>
      <c r="AH93" s="42"/>
      <c r="AI93" s="42"/>
      <c r="AJ93" s="42"/>
      <c r="AK93" s="42"/>
      <c r="AL93" s="42"/>
      <c r="AM93" s="42"/>
    </row>
    <row r="94" spans="1:75" ht="12" x14ac:dyDescent="0.3"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3"/>
      <c r="AE94" s="43"/>
      <c r="AF94" s="42"/>
      <c r="AG94" s="42"/>
      <c r="AH94" s="42"/>
      <c r="AI94" s="42"/>
      <c r="AJ94" s="42"/>
      <c r="AK94" s="42"/>
      <c r="AL94" s="42"/>
      <c r="AM94" s="42"/>
    </row>
    <row r="95" spans="1:75" ht="12" x14ac:dyDescent="0.3"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3"/>
      <c r="AE95" s="43"/>
      <c r="AF95" s="42"/>
      <c r="AG95" s="42"/>
      <c r="AH95" s="42"/>
      <c r="AI95" s="42"/>
      <c r="AJ95" s="42"/>
      <c r="AK95" s="42"/>
      <c r="AL95" s="42"/>
      <c r="AM95" s="42"/>
    </row>
    <row r="96" spans="1:75" ht="12" x14ac:dyDescent="0.3"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3"/>
      <c r="AE96" s="43"/>
      <c r="AF96" s="42"/>
      <c r="AG96" s="42"/>
      <c r="AH96" s="42"/>
      <c r="AI96" s="42"/>
      <c r="AJ96" s="42"/>
      <c r="AK96" s="42"/>
      <c r="AL96" s="42"/>
      <c r="AM96" s="42"/>
    </row>
    <row r="97" spans="30:31" ht="12" x14ac:dyDescent="0.3">
      <c r="AD97" s="33"/>
      <c r="AE97" s="33"/>
    </row>
    <row r="98" spans="30:31" ht="12" x14ac:dyDescent="0.3">
      <c r="AD98" s="33"/>
      <c r="AE98" s="33"/>
    </row>
    <row r="99" spans="30:31" ht="12" x14ac:dyDescent="0.3">
      <c r="AD99" s="33"/>
      <c r="AE99" s="33"/>
    </row>
    <row r="100" spans="30:31" ht="12" x14ac:dyDescent="0.3">
      <c r="AD100" s="33"/>
      <c r="AE100" s="33"/>
    </row>
    <row r="101" spans="30:31" ht="12" x14ac:dyDescent="0.3">
      <c r="AD101" s="33"/>
      <c r="AE101" s="33"/>
    </row>
    <row r="102" spans="30:31" ht="12" x14ac:dyDescent="0.3">
      <c r="AD102" s="33"/>
      <c r="AE102" s="33"/>
    </row>
    <row r="103" spans="30:31" ht="12" x14ac:dyDescent="0.3">
      <c r="AD103" s="33"/>
      <c r="AE103" s="33"/>
    </row>
    <row r="104" spans="30:31" ht="12" x14ac:dyDescent="0.3">
      <c r="AD104" s="33"/>
      <c r="AE104" s="33"/>
    </row>
    <row r="105" spans="30:31" ht="12" x14ac:dyDescent="0.3">
      <c r="AD105" s="33"/>
      <c r="AE105" s="33"/>
    </row>
    <row r="106" spans="30:31" ht="12" x14ac:dyDescent="0.3">
      <c r="AD106" s="33"/>
      <c r="AE106" s="33"/>
    </row>
    <row r="107" spans="30:31" ht="12" x14ac:dyDescent="0.3">
      <c r="AD107" s="33"/>
      <c r="AE107" s="33"/>
    </row>
    <row r="108" spans="30:31" ht="12" x14ac:dyDescent="0.3">
      <c r="AD108" s="33"/>
      <c r="AE108" s="33"/>
    </row>
    <row r="109" spans="30:31" ht="12" x14ac:dyDescent="0.3">
      <c r="AD109" s="33"/>
      <c r="AE109" s="33"/>
    </row>
    <row r="110" spans="30:31" ht="12" x14ac:dyDescent="0.3">
      <c r="AD110" s="33"/>
      <c r="AE110" s="33"/>
    </row>
    <row r="111" spans="30:31" ht="12" x14ac:dyDescent="0.3">
      <c r="AD111" s="33"/>
      <c r="AE111" s="33"/>
    </row>
    <row r="112" spans="30:31" ht="12" x14ac:dyDescent="0.3">
      <c r="AD112" s="33"/>
      <c r="AE112" s="33"/>
    </row>
    <row r="113" spans="30:31" ht="12" x14ac:dyDescent="0.3">
      <c r="AD113" s="33"/>
      <c r="AE113" s="33"/>
    </row>
    <row r="114" spans="30:31" ht="12" x14ac:dyDescent="0.3">
      <c r="AD114" s="33"/>
      <c r="AE114" s="33"/>
    </row>
    <row r="115" spans="30:31" ht="12" x14ac:dyDescent="0.3">
      <c r="AD115" s="33"/>
      <c r="AE115" s="33"/>
    </row>
    <row r="116" spans="30:31" ht="12" x14ac:dyDescent="0.3">
      <c r="AD116" s="33"/>
      <c r="AE116" s="33"/>
    </row>
    <row r="117" spans="30:31" ht="12" x14ac:dyDescent="0.3">
      <c r="AD117" s="33"/>
      <c r="AE117" s="33"/>
    </row>
    <row r="118" spans="30:31" ht="12" x14ac:dyDescent="0.3">
      <c r="AD118" s="33"/>
      <c r="AE118" s="33"/>
    </row>
    <row r="119" spans="30:31" ht="12" x14ac:dyDescent="0.3">
      <c r="AD119" s="33"/>
      <c r="AE119" s="33"/>
    </row>
    <row r="120" spans="30:31" ht="12" x14ac:dyDescent="0.3">
      <c r="AD120" s="33"/>
      <c r="AE120" s="33"/>
    </row>
    <row r="121" spans="30:31" ht="12" x14ac:dyDescent="0.3">
      <c r="AD121" s="33"/>
      <c r="AE121" s="33"/>
    </row>
    <row r="122" spans="30:31" ht="12" x14ac:dyDescent="0.3">
      <c r="AD122" s="33"/>
      <c r="AE122" s="33"/>
    </row>
    <row r="123" spans="30:31" ht="12" x14ac:dyDescent="0.3">
      <c r="AD123" s="33"/>
      <c r="AE123" s="33"/>
    </row>
    <row r="124" spans="30:31" ht="12" x14ac:dyDescent="0.3">
      <c r="AD124" s="33"/>
      <c r="AE124" s="33"/>
    </row>
    <row r="125" spans="30:31" ht="12" x14ac:dyDescent="0.3">
      <c r="AD125" s="33"/>
      <c r="AE125" s="33"/>
    </row>
    <row r="126" spans="30:31" ht="12" x14ac:dyDescent="0.3">
      <c r="AD126" s="33"/>
      <c r="AE126" s="33"/>
    </row>
    <row r="127" spans="30:31" ht="12" x14ac:dyDescent="0.3">
      <c r="AD127" s="33"/>
      <c r="AE127" s="33"/>
    </row>
    <row r="128" spans="30:31" ht="12" x14ac:dyDescent="0.3">
      <c r="AD128" s="33"/>
      <c r="AE128" s="33"/>
    </row>
    <row r="129" spans="30:31" ht="12" x14ac:dyDescent="0.3">
      <c r="AD129" s="33"/>
      <c r="AE129" s="33"/>
    </row>
    <row r="130" spans="30:31" ht="12" x14ac:dyDescent="0.3">
      <c r="AD130" s="33"/>
      <c r="AE130" s="33"/>
    </row>
    <row r="131" spans="30:31" ht="12" x14ac:dyDescent="0.3">
      <c r="AD131" s="33"/>
      <c r="AE131" s="33"/>
    </row>
    <row r="132" spans="30:31" ht="12" x14ac:dyDescent="0.3">
      <c r="AD132" s="33"/>
      <c r="AE132" s="33"/>
    </row>
    <row r="133" spans="30:31" ht="12" x14ac:dyDescent="0.3">
      <c r="AD133" s="33"/>
      <c r="AE133" s="33"/>
    </row>
    <row r="134" spans="30:31" ht="12" x14ac:dyDescent="0.3">
      <c r="AD134" s="33"/>
      <c r="AE134" s="33"/>
    </row>
    <row r="135" spans="30:31" ht="12" x14ac:dyDescent="0.3">
      <c r="AD135" s="33"/>
      <c r="AE135" s="33"/>
    </row>
    <row r="136" spans="30:31" ht="12" x14ac:dyDescent="0.3">
      <c r="AD136" s="33"/>
      <c r="AE136" s="33"/>
    </row>
    <row r="137" spans="30:31" ht="12" x14ac:dyDescent="0.3">
      <c r="AD137" s="33"/>
      <c r="AE137" s="33"/>
    </row>
    <row r="138" spans="30:31" ht="12" x14ac:dyDescent="0.3">
      <c r="AD138" s="33"/>
      <c r="AE138" s="33"/>
    </row>
    <row r="139" spans="30:31" ht="12" x14ac:dyDescent="0.3">
      <c r="AD139" s="33"/>
      <c r="AE139" s="33"/>
    </row>
    <row r="140" spans="30:31" ht="12" x14ac:dyDescent="0.3">
      <c r="AD140" s="33"/>
      <c r="AE140" s="33"/>
    </row>
    <row r="141" spans="30:31" ht="12" x14ac:dyDescent="0.3">
      <c r="AD141" s="33"/>
      <c r="AE141" s="33"/>
    </row>
    <row r="142" spans="30:31" ht="12" x14ac:dyDescent="0.3">
      <c r="AD142" s="33"/>
      <c r="AE142" s="33"/>
    </row>
    <row r="143" spans="30:31" ht="12" x14ac:dyDescent="0.3">
      <c r="AD143" s="33"/>
      <c r="AE143" s="33"/>
    </row>
    <row r="144" spans="30:31" ht="12" x14ac:dyDescent="0.3">
      <c r="AD144" s="33"/>
      <c r="AE144" s="33"/>
    </row>
    <row r="145" spans="30:31" ht="12" x14ac:dyDescent="0.3">
      <c r="AD145" s="33"/>
      <c r="AE145" s="33"/>
    </row>
    <row r="146" spans="30:31" ht="12" x14ac:dyDescent="0.3">
      <c r="AD146" s="33"/>
      <c r="AE146" s="33"/>
    </row>
    <row r="147" spans="30:31" ht="12" x14ac:dyDescent="0.3">
      <c r="AD147" s="33"/>
      <c r="AE147" s="33"/>
    </row>
    <row r="148" spans="30:31" ht="12" x14ac:dyDescent="0.3">
      <c r="AD148" s="33"/>
      <c r="AE148" s="33"/>
    </row>
    <row r="149" spans="30:31" ht="12" x14ac:dyDescent="0.3">
      <c r="AD149" s="33"/>
      <c r="AE149" s="33"/>
    </row>
    <row r="150" spans="30:31" ht="12" x14ac:dyDescent="0.3">
      <c r="AD150" s="33"/>
      <c r="AE150" s="33"/>
    </row>
    <row r="151" spans="30:31" ht="12" x14ac:dyDescent="0.3">
      <c r="AD151" s="33"/>
      <c r="AE151" s="33"/>
    </row>
    <row r="152" spans="30:31" ht="12" x14ac:dyDescent="0.3">
      <c r="AD152" s="33"/>
      <c r="AE152" s="33"/>
    </row>
    <row r="153" spans="30:31" ht="12" x14ac:dyDescent="0.3">
      <c r="AD153" s="33"/>
      <c r="AE153" s="33"/>
    </row>
    <row r="154" spans="30:31" ht="12" x14ac:dyDescent="0.3">
      <c r="AD154" s="33"/>
      <c r="AE154" s="33"/>
    </row>
    <row r="155" spans="30:31" ht="12" x14ac:dyDescent="0.3">
      <c r="AD155" s="33"/>
      <c r="AE155" s="33"/>
    </row>
    <row r="156" spans="30:31" ht="12" x14ac:dyDescent="0.3">
      <c r="AD156" s="33"/>
      <c r="AE156" s="33"/>
    </row>
    <row r="157" spans="30:31" ht="12" x14ac:dyDescent="0.3">
      <c r="AD157" s="33"/>
      <c r="AE157" s="33"/>
    </row>
    <row r="158" spans="30:31" ht="12" x14ac:dyDescent="0.3">
      <c r="AD158" s="33"/>
      <c r="AE158" s="33"/>
    </row>
    <row r="159" spans="30:31" ht="12" x14ac:dyDescent="0.3">
      <c r="AD159" s="33"/>
      <c r="AE159" s="33"/>
    </row>
    <row r="160" spans="30:31" ht="12" x14ac:dyDescent="0.3">
      <c r="AD160" s="33"/>
      <c r="AE160" s="33"/>
    </row>
    <row r="161" spans="30:31" ht="12" x14ac:dyDescent="0.3">
      <c r="AD161" s="33"/>
      <c r="AE161" s="33"/>
    </row>
    <row r="162" spans="30:31" ht="12" x14ac:dyDescent="0.3">
      <c r="AD162" s="33"/>
      <c r="AE162" s="33"/>
    </row>
    <row r="163" spans="30:31" ht="12" x14ac:dyDescent="0.3">
      <c r="AD163" s="33"/>
      <c r="AE163" s="33"/>
    </row>
    <row r="164" spans="30:31" ht="12" x14ac:dyDescent="0.3">
      <c r="AD164" s="33"/>
      <c r="AE164" s="33"/>
    </row>
    <row r="165" spans="30:31" ht="12" x14ac:dyDescent="0.3">
      <c r="AD165" s="33"/>
      <c r="AE165" s="33"/>
    </row>
    <row r="166" spans="30:31" ht="12" x14ac:dyDescent="0.3">
      <c r="AD166" s="33"/>
      <c r="AE166" s="33"/>
    </row>
    <row r="167" spans="30:31" ht="12" x14ac:dyDescent="0.3">
      <c r="AD167" s="33"/>
      <c r="AE167" s="33"/>
    </row>
    <row r="168" spans="30:31" ht="12" x14ac:dyDescent="0.3">
      <c r="AD168" s="33"/>
      <c r="AE168" s="33"/>
    </row>
    <row r="169" spans="30:31" ht="12" x14ac:dyDescent="0.3">
      <c r="AD169" s="33"/>
      <c r="AE169" s="33"/>
    </row>
    <row r="170" spans="30:31" ht="12" x14ac:dyDescent="0.3">
      <c r="AD170" s="33"/>
      <c r="AE170" s="33"/>
    </row>
    <row r="171" spans="30:31" ht="12" x14ac:dyDescent="0.3">
      <c r="AD171" s="33"/>
      <c r="AE171" s="33"/>
    </row>
    <row r="172" spans="30:31" ht="12" x14ac:dyDescent="0.3">
      <c r="AD172" s="33"/>
      <c r="AE172" s="33"/>
    </row>
    <row r="173" spans="30:31" ht="12" x14ac:dyDescent="0.3">
      <c r="AD173" s="33"/>
      <c r="AE173" s="33"/>
    </row>
    <row r="174" spans="30:31" ht="12" x14ac:dyDescent="0.3">
      <c r="AD174" s="33"/>
      <c r="AE174" s="33"/>
    </row>
    <row r="175" spans="30:31" ht="12" x14ac:dyDescent="0.3">
      <c r="AD175" s="33"/>
      <c r="AE175" s="33"/>
    </row>
    <row r="176" spans="30:31" ht="12" x14ac:dyDescent="0.3">
      <c r="AD176" s="33"/>
      <c r="AE176" s="33"/>
    </row>
    <row r="177" spans="30:31" ht="12" x14ac:dyDescent="0.3">
      <c r="AD177" s="33"/>
      <c r="AE177" s="33"/>
    </row>
    <row r="178" spans="30:31" ht="12" x14ac:dyDescent="0.3">
      <c r="AD178" s="33"/>
      <c r="AE178" s="33"/>
    </row>
    <row r="179" spans="30:31" ht="12" x14ac:dyDescent="0.3">
      <c r="AD179" s="33"/>
      <c r="AE179" s="33"/>
    </row>
    <row r="180" spans="30:31" ht="12" x14ac:dyDescent="0.3">
      <c r="AD180" s="33"/>
      <c r="AE180" s="33"/>
    </row>
    <row r="181" spans="30:31" ht="12" x14ac:dyDescent="0.3">
      <c r="AD181" s="33"/>
      <c r="AE181" s="33"/>
    </row>
    <row r="182" spans="30:31" ht="12" x14ac:dyDescent="0.3">
      <c r="AD182" s="33"/>
      <c r="AE182" s="33"/>
    </row>
    <row r="183" spans="30:31" ht="12" x14ac:dyDescent="0.3">
      <c r="AD183" s="33"/>
      <c r="AE183" s="33"/>
    </row>
    <row r="184" spans="30:31" ht="12" x14ac:dyDescent="0.3">
      <c r="AD184" s="33"/>
      <c r="AE184" s="33"/>
    </row>
    <row r="185" spans="30:31" ht="12" x14ac:dyDescent="0.3">
      <c r="AD185" s="33"/>
      <c r="AE185" s="33"/>
    </row>
    <row r="186" spans="30:31" ht="12" x14ac:dyDescent="0.3">
      <c r="AD186" s="33"/>
      <c r="AE186" s="33"/>
    </row>
    <row r="187" spans="30:31" ht="12" x14ac:dyDescent="0.3">
      <c r="AD187" s="33"/>
      <c r="AE187" s="33"/>
    </row>
    <row r="188" spans="30:31" ht="12" x14ac:dyDescent="0.3">
      <c r="AD188" s="33"/>
      <c r="AE188" s="33"/>
    </row>
    <row r="189" spans="30:31" ht="12" x14ac:dyDescent="0.3">
      <c r="AD189" s="33"/>
      <c r="AE189" s="33"/>
    </row>
    <row r="190" spans="30:31" ht="12" x14ac:dyDescent="0.3">
      <c r="AD190" s="33"/>
      <c r="AE190" s="33"/>
    </row>
    <row r="191" spans="30:31" ht="12" x14ac:dyDescent="0.3">
      <c r="AD191" s="33"/>
      <c r="AE191" s="33"/>
    </row>
    <row r="192" spans="30:31" ht="12" x14ac:dyDescent="0.3">
      <c r="AD192" s="33"/>
      <c r="AE192" s="33"/>
    </row>
    <row r="193" spans="30:31" ht="12" x14ac:dyDescent="0.3">
      <c r="AD193" s="33"/>
      <c r="AE193" s="33"/>
    </row>
    <row r="194" spans="30:31" ht="12" x14ac:dyDescent="0.3">
      <c r="AD194" s="33"/>
      <c r="AE194" s="33"/>
    </row>
    <row r="195" spans="30:31" ht="12" x14ac:dyDescent="0.3">
      <c r="AD195" s="33"/>
      <c r="AE195" s="33"/>
    </row>
    <row r="196" spans="30:31" ht="12" x14ac:dyDescent="0.3">
      <c r="AD196" s="33"/>
      <c r="AE196" s="33"/>
    </row>
    <row r="197" spans="30:31" ht="12" x14ac:dyDescent="0.3">
      <c r="AD197" s="33"/>
      <c r="AE197" s="33"/>
    </row>
    <row r="198" spans="30:31" ht="12" x14ac:dyDescent="0.3">
      <c r="AD198" s="33"/>
      <c r="AE198" s="33"/>
    </row>
    <row r="199" spans="30:31" ht="12" x14ac:dyDescent="0.3">
      <c r="AD199" s="33"/>
      <c r="AE199" s="33"/>
    </row>
    <row r="200" spans="30:31" ht="12" x14ac:dyDescent="0.3">
      <c r="AD200" s="33"/>
      <c r="AE200" s="33"/>
    </row>
    <row r="201" spans="30:31" ht="12" x14ac:dyDescent="0.3">
      <c r="AD201" s="33"/>
      <c r="AE201" s="33"/>
    </row>
    <row r="202" spans="30:31" ht="12" x14ac:dyDescent="0.3">
      <c r="AD202" s="33"/>
      <c r="AE202" s="33"/>
    </row>
    <row r="203" spans="30:31" ht="12" x14ac:dyDescent="0.3">
      <c r="AD203" s="33"/>
      <c r="AE203" s="33"/>
    </row>
    <row r="204" spans="30:31" ht="12" x14ac:dyDescent="0.3">
      <c r="AD204" s="33"/>
      <c r="AE204" s="33"/>
    </row>
    <row r="205" spans="30:31" ht="12" x14ac:dyDescent="0.3">
      <c r="AD205" s="33"/>
      <c r="AE205" s="33"/>
    </row>
    <row r="206" spans="30:31" ht="12" x14ac:dyDescent="0.3">
      <c r="AD206" s="33"/>
      <c r="AE206" s="33"/>
    </row>
    <row r="207" spans="30:31" ht="12" x14ac:dyDescent="0.3">
      <c r="AD207" s="33"/>
      <c r="AE207" s="33"/>
    </row>
    <row r="208" spans="30:31" ht="12" x14ac:dyDescent="0.3">
      <c r="AD208" s="33"/>
      <c r="AE208" s="33"/>
    </row>
    <row r="209" spans="30:31" ht="12" x14ac:dyDescent="0.3">
      <c r="AD209" s="33"/>
      <c r="AE209" s="33"/>
    </row>
    <row r="210" spans="30:31" ht="12" x14ac:dyDescent="0.3">
      <c r="AD210" s="33"/>
      <c r="AE210" s="33"/>
    </row>
    <row r="211" spans="30:31" ht="12" x14ac:dyDescent="0.3">
      <c r="AD211" s="33"/>
      <c r="AE211" s="33"/>
    </row>
    <row r="212" spans="30:31" ht="12" x14ac:dyDescent="0.3">
      <c r="AD212" s="33"/>
      <c r="AE212" s="33"/>
    </row>
    <row r="213" spans="30:31" ht="12" x14ac:dyDescent="0.3">
      <c r="AD213" s="33"/>
      <c r="AE213" s="33"/>
    </row>
    <row r="214" spans="30:31" ht="12" x14ac:dyDescent="0.3">
      <c r="AD214" s="33"/>
      <c r="AE214" s="33"/>
    </row>
    <row r="215" spans="30:31" ht="12" x14ac:dyDescent="0.3">
      <c r="AD215" s="33"/>
      <c r="AE215" s="33"/>
    </row>
    <row r="216" spans="30:31" ht="12" x14ac:dyDescent="0.3">
      <c r="AD216" s="33"/>
      <c r="AE216" s="33"/>
    </row>
    <row r="217" spans="30:31" ht="12" x14ac:dyDescent="0.3">
      <c r="AD217" s="33"/>
      <c r="AE217" s="33"/>
    </row>
    <row r="218" spans="30:31" ht="12" x14ac:dyDescent="0.3">
      <c r="AD218" s="33"/>
      <c r="AE218" s="33"/>
    </row>
    <row r="219" spans="30:31" ht="12" x14ac:dyDescent="0.3">
      <c r="AD219" s="33"/>
      <c r="AE219" s="33"/>
    </row>
    <row r="220" spans="30:31" ht="12" x14ac:dyDescent="0.3">
      <c r="AD220" s="33"/>
      <c r="AE220" s="33"/>
    </row>
    <row r="221" spans="30:31" ht="12" x14ac:dyDescent="0.3">
      <c r="AD221" s="33"/>
      <c r="AE221" s="33"/>
    </row>
    <row r="222" spans="30:31" ht="12" x14ac:dyDescent="0.3">
      <c r="AD222" s="33"/>
      <c r="AE222" s="33"/>
    </row>
    <row r="223" spans="30:31" ht="12" x14ac:dyDescent="0.3">
      <c r="AD223" s="33"/>
      <c r="AE223" s="33"/>
    </row>
    <row r="224" spans="30:31" ht="12" x14ac:dyDescent="0.3">
      <c r="AD224" s="33"/>
      <c r="AE224" s="33"/>
    </row>
    <row r="225" spans="30:31" ht="12" x14ac:dyDescent="0.3">
      <c r="AD225" s="33"/>
      <c r="AE225" s="33"/>
    </row>
    <row r="226" spans="30:31" ht="12" x14ac:dyDescent="0.3">
      <c r="AD226" s="33"/>
      <c r="AE226" s="33"/>
    </row>
    <row r="227" spans="30:31" ht="12" x14ac:dyDescent="0.3">
      <c r="AD227" s="33"/>
      <c r="AE227" s="33"/>
    </row>
    <row r="228" spans="30:31" ht="12" x14ac:dyDescent="0.3">
      <c r="AD228" s="33"/>
      <c r="AE228" s="33"/>
    </row>
    <row r="229" spans="30:31" ht="12" x14ac:dyDescent="0.3">
      <c r="AD229" s="33"/>
      <c r="AE229" s="33"/>
    </row>
    <row r="230" spans="30:31" ht="12" x14ac:dyDescent="0.3">
      <c r="AD230" s="33"/>
      <c r="AE230" s="33"/>
    </row>
    <row r="231" spans="30:31" ht="12" x14ac:dyDescent="0.3">
      <c r="AD231" s="33"/>
      <c r="AE231" s="33"/>
    </row>
    <row r="232" spans="30:31" ht="12" x14ac:dyDescent="0.3">
      <c r="AD232" s="33"/>
      <c r="AE232" s="33"/>
    </row>
    <row r="233" spans="30:31" ht="12" x14ac:dyDescent="0.3">
      <c r="AD233" s="33"/>
      <c r="AE233" s="33"/>
    </row>
    <row r="234" spans="30:31" ht="12" x14ac:dyDescent="0.3">
      <c r="AD234" s="33"/>
      <c r="AE234" s="33"/>
    </row>
    <row r="235" spans="30:31" ht="12" x14ac:dyDescent="0.3">
      <c r="AD235" s="33"/>
      <c r="AE235" s="33"/>
    </row>
    <row r="236" spans="30:31" ht="12" x14ac:dyDescent="0.3">
      <c r="AD236" s="33"/>
      <c r="AE236" s="33"/>
    </row>
    <row r="237" spans="30:31" ht="12" x14ac:dyDescent="0.3">
      <c r="AD237" s="33"/>
      <c r="AE237" s="33"/>
    </row>
    <row r="238" spans="30:31" ht="12" x14ac:dyDescent="0.3">
      <c r="AD238" s="33"/>
      <c r="AE238" s="33"/>
    </row>
    <row r="239" spans="30:31" ht="12" x14ac:dyDescent="0.3">
      <c r="AD239" s="33"/>
      <c r="AE239" s="33"/>
    </row>
    <row r="240" spans="30:31" ht="12" x14ac:dyDescent="0.3">
      <c r="AD240" s="33"/>
      <c r="AE240" s="33"/>
    </row>
    <row r="241" spans="30:31" ht="12" x14ac:dyDescent="0.3">
      <c r="AD241" s="33"/>
      <c r="AE241" s="33"/>
    </row>
    <row r="242" spans="30:31" ht="12" x14ac:dyDescent="0.3">
      <c r="AD242" s="33"/>
      <c r="AE242" s="33"/>
    </row>
    <row r="243" spans="30:31" ht="12" x14ac:dyDescent="0.3">
      <c r="AD243" s="33"/>
      <c r="AE243" s="33"/>
    </row>
    <row r="244" spans="30:31" ht="12" x14ac:dyDescent="0.3">
      <c r="AD244" s="33"/>
      <c r="AE244" s="33"/>
    </row>
    <row r="245" spans="30:31" ht="12" x14ac:dyDescent="0.3">
      <c r="AD245" s="33"/>
      <c r="AE245" s="33"/>
    </row>
    <row r="246" spans="30:31" ht="12" x14ac:dyDescent="0.3">
      <c r="AD246" s="33"/>
      <c r="AE246" s="33"/>
    </row>
    <row r="247" spans="30:31" ht="12" x14ac:dyDescent="0.3">
      <c r="AD247" s="33"/>
      <c r="AE247" s="33"/>
    </row>
    <row r="248" spans="30:31" ht="12" x14ac:dyDescent="0.3">
      <c r="AD248" s="33"/>
      <c r="AE248" s="33"/>
    </row>
    <row r="249" spans="30:31" ht="12" x14ac:dyDescent="0.3">
      <c r="AD249" s="33"/>
      <c r="AE249" s="33"/>
    </row>
    <row r="250" spans="30:31" ht="12" x14ac:dyDescent="0.3">
      <c r="AD250" s="33"/>
      <c r="AE250" s="33"/>
    </row>
    <row r="251" spans="30:31" ht="12" x14ac:dyDescent="0.3">
      <c r="AD251" s="33"/>
      <c r="AE251" s="33"/>
    </row>
    <row r="252" spans="30:31" ht="12" x14ac:dyDescent="0.3">
      <c r="AD252" s="33"/>
      <c r="AE252" s="33"/>
    </row>
    <row r="253" spans="30:31" ht="12" x14ac:dyDescent="0.3">
      <c r="AD253" s="33"/>
      <c r="AE253" s="33"/>
    </row>
    <row r="254" spans="30:31" ht="12" x14ac:dyDescent="0.3">
      <c r="AD254" s="33"/>
      <c r="AE254" s="33"/>
    </row>
    <row r="255" spans="30:31" ht="12" x14ac:dyDescent="0.3">
      <c r="AD255" s="33"/>
      <c r="AE255" s="33"/>
    </row>
    <row r="256" spans="30:31" ht="12" x14ac:dyDescent="0.3">
      <c r="AD256" s="33"/>
      <c r="AE256" s="33"/>
    </row>
    <row r="257" spans="30:31" ht="12" x14ac:dyDescent="0.3">
      <c r="AD257" s="33"/>
      <c r="AE257" s="33"/>
    </row>
    <row r="258" spans="30:31" ht="12" x14ac:dyDescent="0.3">
      <c r="AD258" s="33"/>
      <c r="AE258" s="33"/>
    </row>
    <row r="259" spans="30:31" ht="12" x14ac:dyDescent="0.3">
      <c r="AD259" s="33"/>
      <c r="AE259" s="33"/>
    </row>
    <row r="260" spans="30:31" ht="12" x14ac:dyDescent="0.3">
      <c r="AD260" s="33"/>
      <c r="AE260" s="33"/>
    </row>
    <row r="261" spans="30:31" ht="12" x14ac:dyDescent="0.3">
      <c r="AD261" s="33"/>
      <c r="AE261" s="33"/>
    </row>
    <row r="262" spans="30:31" ht="12" x14ac:dyDescent="0.3">
      <c r="AD262" s="33"/>
      <c r="AE262" s="33"/>
    </row>
    <row r="263" spans="30:31" ht="12" x14ac:dyDescent="0.3">
      <c r="AD263" s="33"/>
      <c r="AE263" s="33"/>
    </row>
    <row r="264" spans="30:31" ht="12" x14ac:dyDescent="0.3">
      <c r="AD264" s="33"/>
      <c r="AE264" s="33"/>
    </row>
    <row r="265" spans="30:31" ht="12" x14ac:dyDescent="0.3">
      <c r="AD265" s="33"/>
      <c r="AE265" s="33"/>
    </row>
    <row r="266" spans="30:31" ht="12" x14ac:dyDescent="0.3">
      <c r="AD266" s="33"/>
      <c r="AE266" s="33"/>
    </row>
    <row r="267" spans="30:31" ht="12" x14ac:dyDescent="0.3">
      <c r="AD267" s="33"/>
      <c r="AE267" s="33"/>
    </row>
    <row r="268" spans="30:31" ht="12" x14ac:dyDescent="0.3">
      <c r="AD268" s="33"/>
      <c r="AE268" s="33"/>
    </row>
    <row r="269" spans="30:31" ht="12" x14ac:dyDescent="0.3">
      <c r="AD269" s="33"/>
      <c r="AE269" s="33"/>
    </row>
    <row r="270" spans="30:31" ht="12" x14ac:dyDescent="0.3">
      <c r="AD270" s="33"/>
      <c r="AE270" s="33"/>
    </row>
    <row r="271" spans="30:31" ht="12" x14ac:dyDescent="0.3">
      <c r="AD271" s="33"/>
      <c r="AE271" s="33"/>
    </row>
    <row r="272" spans="30:31" ht="12" x14ac:dyDescent="0.3">
      <c r="AD272" s="33"/>
      <c r="AE272" s="33"/>
    </row>
    <row r="273" spans="30:31" ht="12" x14ac:dyDescent="0.3">
      <c r="AD273" s="33"/>
      <c r="AE273" s="33"/>
    </row>
    <row r="274" spans="30:31" ht="12" x14ac:dyDescent="0.3">
      <c r="AD274" s="33"/>
      <c r="AE274" s="33"/>
    </row>
    <row r="275" spans="30:31" ht="12" x14ac:dyDescent="0.3">
      <c r="AD275" s="33"/>
      <c r="AE275" s="33"/>
    </row>
    <row r="276" spans="30:31" ht="12" x14ac:dyDescent="0.3">
      <c r="AD276" s="33"/>
      <c r="AE276" s="33"/>
    </row>
    <row r="277" spans="30:31" ht="12" x14ac:dyDescent="0.3">
      <c r="AD277" s="33"/>
      <c r="AE277" s="33"/>
    </row>
    <row r="278" spans="30:31" ht="12" x14ac:dyDescent="0.3">
      <c r="AD278" s="33"/>
      <c r="AE278" s="33"/>
    </row>
    <row r="279" spans="30:31" ht="12" x14ac:dyDescent="0.3">
      <c r="AD279" s="33"/>
      <c r="AE279" s="33"/>
    </row>
    <row r="280" spans="30:31" ht="12" x14ac:dyDescent="0.3">
      <c r="AD280" s="33"/>
      <c r="AE280" s="33"/>
    </row>
    <row r="281" spans="30:31" ht="12" x14ac:dyDescent="0.3">
      <c r="AD281" s="33"/>
      <c r="AE281" s="33"/>
    </row>
    <row r="282" spans="30:31" ht="12" x14ac:dyDescent="0.3">
      <c r="AD282" s="33"/>
      <c r="AE282" s="33"/>
    </row>
    <row r="283" spans="30:31" ht="12" x14ac:dyDescent="0.3">
      <c r="AD283" s="33"/>
      <c r="AE283" s="33"/>
    </row>
    <row r="284" spans="30:31" ht="12" x14ac:dyDescent="0.3">
      <c r="AD284" s="33"/>
      <c r="AE284" s="33"/>
    </row>
    <row r="285" spans="30:31" ht="12" x14ac:dyDescent="0.3">
      <c r="AD285" s="33"/>
      <c r="AE285" s="33"/>
    </row>
    <row r="286" spans="30:31" ht="12" x14ac:dyDescent="0.3">
      <c r="AD286" s="33"/>
      <c r="AE286" s="33"/>
    </row>
    <row r="287" spans="30:31" ht="12" x14ac:dyDescent="0.3">
      <c r="AD287" s="33"/>
      <c r="AE287" s="33"/>
    </row>
    <row r="288" spans="30:31" ht="12" x14ac:dyDescent="0.3">
      <c r="AD288" s="33"/>
      <c r="AE288" s="33"/>
    </row>
    <row r="289" spans="30:31" ht="12" x14ac:dyDescent="0.3">
      <c r="AD289" s="33"/>
      <c r="AE289" s="33"/>
    </row>
    <row r="290" spans="30:31" ht="12" x14ac:dyDescent="0.3">
      <c r="AD290" s="33"/>
      <c r="AE290" s="33"/>
    </row>
    <row r="291" spans="30:31" ht="12" x14ac:dyDescent="0.3">
      <c r="AD291" s="33"/>
      <c r="AE291" s="33"/>
    </row>
    <row r="292" spans="30:31" ht="12" x14ac:dyDescent="0.3">
      <c r="AD292" s="33"/>
      <c r="AE292" s="33"/>
    </row>
    <row r="293" spans="30:31" ht="12" x14ac:dyDescent="0.3">
      <c r="AD293" s="33"/>
      <c r="AE293" s="33"/>
    </row>
    <row r="294" spans="30:31" ht="12" x14ac:dyDescent="0.3">
      <c r="AD294" s="33"/>
      <c r="AE294" s="33"/>
    </row>
    <row r="295" spans="30:31" ht="12" x14ac:dyDescent="0.3">
      <c r="AD295" s="33"/>
      <c r="AE295" s="33"/>
    </row>
    <row r="296" spans="30:31" ht="12" x14ac:dyDescent="0.3">
      <c r="AD296" s="33"/>
      <c r="AE296" s="33"/>
    </row>
    <row r="297" spans="30:31" ht="12" x14ac:dyDescent="0.3">
      <c r="AD297" s="33"/>
      <c r="AE297" s="33"/>
    </row>
    <row r="298" spans="30:31" ht="12" x14ac:dyDescent="0.3">
      <c r="AD298" s="33"/>
      <c r="AE298" s="33"/>
    </row>
    <row r="299" spans="30:31" ht="12" x14ac:dyDescent="0.3">
      <c r="AD299" s="33"/>
      <c r="AE299" s="33"/>
    </row>
    <row r="300" spans="30:31" ht="12" x14ac:dyDescent="0.3">
      <c r="AD300" s="33"/>
      <c r="AE300" s="33"/>
    </row>
    <row r="301" spans="30:31" ht="12" x14ac:dyDescent="0.3">
      <c r="AD301" s="33"/>
      <c r="AE301" s="33"/>
    </row>
    <row r="302" spans="30:31" ht="12" x14ac:dyDescent="0.3">
      <c r="AD302" s="33"/>
      <c r="AE302" s="33"/>
    </row>
    <row r="303" spans="30:31" ht="12" x14ac:dyDescent="0.3">
      <c r="AD303" s="33"/>
      <c r="AE303" s="33"/>
    </row>
    <row r="304" spans="30:31" ht="12" x14ac:dyDescent="0.3">
      <c r="AD304" s="33"/>
      <c r="AE304" s="33"/>
    </row>
    <row r="305" spans="30:31" ht="12" x14ac:dyDescent="0.3">
      <c r="AD305" s="33"/>
      <c r="AE305" s="33"/>
    </row>
    <row r="306" spans="30:31" ht="12" x14ac:dyDescent="0.3">
      <c r="AD306" s="33"/>
      <c r="AE306" s="33"/>
    </row>
    <row r="307" spans="30:31" ht="12" x14ac:dyDescent="0.3">
      <c r="AD307" s="33"/>
      <c r="AE307" s="33"/>
    </row>
    <row r="308" spans="30:31" ht="12" x14ac:dyDescent="0.3">
      <c r="AD308" s="33"/>
      <c r="AE308" s="33"/>
    </row>
    <row r="309" spans="30:31" ht="12" x14ac:dyDescent="0.3">
      <c r="AD309" s="33"/>
      <c r="AE309" s="33"/>
    </row>
    <row r="310" spans="30:31" ht="12" x14ac:dyDescent="0.3">
      <c r="AD310" s="33"/>
      <c r="AE310" s="33"/>
    </row>
    <row r="311" spans="30:31" ht="12" x14ac:dyDescent="0.3">
      <c r="AD311" s="33"/>
      <c r="AE311" s="33"/>
    </row>
    <row r="312" spans="30:31" ht="12" x14ac:dyDescent="0.3">
      <c r="AD312" s="33"/>
      <c r="AE312" s="33"/>
    </row>
    <row r="313" spans="30:31" ht="12" x14ac:dyDescent="0.3">
      <c r="AD313" s="33"/>
      <c r="AE313" s="33"/>
    </row>
    <row r="314" spans="30:31" ht="12" x14ac:dyDescent="0.3">
      <c r="AD314" s="33"/>
      <c r="AE314" s="33"/>
    </row>
    <row r="315" spans="30:31" ht="12" x14ac:dyDescent="0.3">
      <c r="AD315" s="33"/>
      <c r="AE315" s="33"/>
    </row>
    <row r="316" spans="30:31" ht="12" x14ac:dyDescent="0.3">
      <c r="AD316" s="33"/>
      <c r="AE316" s="33"/>
    </row>
    <row r="317" spans="30:31" ht="12" x14ac:dyDescent="0.3">
      <c r="AD317" s="33"/>
      <c r="AE317" s="33"/>
    </row>
    <row r="318" spans="30:31" ht="12" x14ac:dyDescent="0.3">
      <c r="AD318" s="33"/>
      <c r="AE318" s="33"/>
    </row>
    <row r="319" spans="30:31" ht="12" x14ac:dyDescent="0.3">
      <c r="AD319" s="33"/>
      <c r="AE319" s="33"/>
    </row>
    <row r="320" spans="30:31" ht="12" x14ac:dyDescent="0.3">
      <c r="AD320" s="33"/>
      <c r="AE320" s="33"/>
    </row>
    <row r="321" spans="30:31" ht="12" x14ac:dyDescent="0.3">
      <c r="AD321" s="33"/>
      <c r="AE321" s="33"/>
    </row>
    <row r="322" spans="30:31" ht="12" x14ac:dyDescent="0.3">
      <c r="AD322" s="33"/>
      <c r="AE322" s="33"/>
    </row>
    <row r="323" spans="30:31" ht="12" x14ac:dyDescent="0.3">
      <c r="AD323" s="33"/>
      <c r="AE323" s="33"/>
    </row>
    <row r="324" spans="30:31" ht="12" x14ac:dyDescent="0.3">
      <c r="AD324" s="33"/>
      <c r="AE324" s="33"/>
    </row>
    <row r="325" spans="30:31" ht="12" x14ac:dyDescent="0.3">
      <c r="AD325" s="33"/>
      <c r="AE325" s="33"/>
    </row>
    <row r="326" spans="30:31" ht="12" x14ac:dyDescent="0.3">
      <c r="AD326" s="33"/>
      <c r="AE326" s="33"/>
    </row>
    <row r="327" spans="30:31" ht="12" x14ac:dyDescent="0.3">
      <c r="AD327" s="33"/>
      <c r="AE327" s="33"/>
    </row>
    <row r="328" spans="30:31" ht="12" x14ac:dyDescent="0.3">
      <c r="AD328" s="33"/>
      <c r="AE328" s="33"/>
    </row>
    <row r="329" spans="30:31" ht="12" x14ac:dyDescent="0.3">
      <c r="AD329" s="33"/>
      <c r="AE329" s="33"/>
    </row>
    <row r="330" spans="30:31" ht="12" x14ac:dyDescent="0.3">
      <c r="AD330" s="33"/>
      <c r="AE330" s="33"/>
    </row>
    <row r="331" spans="30:31" ht="12" x14ac:dyDescent="0.3">
      <c r="AD331" s="33"/>
      <c r="AE331" s="33"/>
    </row>
    <row r="332" spans="30:31" ht="12" x14ac:dyDescent="0.3">
      <c r="AD332" s="33"/>
      <c r="AE332" s="33"/>
    </row>
    <row r="333" spans="30:31" ht="12" x14ac:dyDescent="0.3">
      <c r="AD333" s="33"/>
      <c r="AE333" s="33"/>
    </row>
    <row r="334" spans="30:31" ht="12" x14ac:dyDescent="0.3">
      <c r="AD334" s="33"/>
      <c r="AE334" s="33"/>
    </row>
    <row r="335" spans="30:31" ht="12" x14ac:dyDescent="0.3">
      <c r="AD335" s="33"/>
      <c r="AE335" s="33"/>
    </row>
    <row r="336" spans="30:31" ht="12" x14ac:dyDescent="0.3">
      <c r="AD336" s="33"/>
      <c r="AE336" s="33"/>
    </row>
    <row r="337" spans="30:31" ht="12" x14ac:dyDescent="0.3">
      <c r="AD337" s="33"/>
      <c r="AE337" s="33"/>
    </row>
    <row r="338" spans="30:31" ht="12" x14ac:dyDescent="0.3">
      <c r="AD338" s="33"/>
      <c r="AE338" s="33"/>
    </row>
    <row r="339" spans="30:31" ht="12" x14ac:dyDescent="0.3">
      <c r="AD339" s="33"/>
      <c r="AE339" s="33"/>
    </row>
    <row r="340" spans="30:31" ht="12" x14ac:dyDescent="0.3">
      <c r="AD340" s="33"/>
      <c r="AE340" s="33"/>
    </row>
    <row r="341" spans="30:31" ht="12" x14ac:dyDescent="0.3">
      <c r="AD341" s="33"/>
      <c r="AE341" s="33"/>
    </row>
    <row r="342" spans="30:31" ht="12" x14ac:dyDescent="0.3">
      <c r="AD342" s="33"/>
      <c r="AE342" s="33"/>
    </row>
    <row r="343" spans="30:31" ht="12" x14ac:dyDescent="0.3">
      <c r="AD343" s="33"/>
      <c r="AE343" s="33"/>
    </row>
    <row r="344" spans="30:31" ht="12" x14ac:dyDescent="0.3">
      <c r="AD344" s="33"/>
      <c r="AE344" s="33"/>
    </row>
    <row r="345" spans="30:31" ht="12" x14ac:dyDescent="0.3">
      <c r="AD345" s="33"/>
      <c r="AE345" s="33"/>
    </row>
    <row r="346" spans="30:31" ht="12" x14ac:dyDescent="0.3">
      <c r="AD346" s="33"/>
      <c r="AE346" s="33"/>
    </row>
    <row r="347" spans="30:31" ht="12" x14ac:dyDescent="0.3">
      <c r="AD347" s="33"/>
      <c r="AE347" s="33"/>
    </row>
    <row r="348" spans="30:31" ht="12" x14ac:dyDescent="0.3">
      <c r="AD348" s="33"/>
      <c r="AE348" s="33"/>
    </row>
    <row r="349" spans="30:31" ht="12" x14ac:dyDescent="0.3">
      <c r="AD349" s="33"/>
      <c r="AE349" s="33"/>
    </row>
    <row r="350" spans="30:31" ht="12" x14ac:dyDescent="0.3">
      <c r="AD350" s="33"/>
      <c r="AE350" s="33"/>
    </row>
    <row r="351" spans="30:31" ht="12" x14ac:dyDescent="0.3">
      <c r="AD351" s="33"/>
      <c r="AE351" s="33"/>
    </row>
    <row r="352" spans="30:31" ht="12" x14ac:dyDescent="0.3">
      <c r="AD352" s="33"/>
      <c r="AE352" s="33"/>
    </row>
    <row r="353" spans="30:31" ht="12" x14ac:dyDescent="0.3">
      <c r="AD353" s="33"/>
      <c r="AE353" s="33"/>
    </row>
    <row r="354" spans="30:31" ht="12" x14ac:dyDescent="0.3">
      <c r="AD354" s="33"/>
      <c r="AE354" s="33"/>
    </row>
    <row r="355" spans="30:31" ht="12" x14ac:dyDescent="0.3">
      <c r="AD355" s="33"/>
      <c r="AE355" s="33"/>
    </row>
    <row r="356" spans="30:31" ht="12" x14ac:dyDescent="0.3">
      <c r="AD356" s="33"/>
      <c r="AE356" s="33"/>
    </row>
    <row r="357" spans="30:31" ht="12" x14ac:dyDescent="0.3">
      <c r="AD357" s="33"/>
      <c r="AE357" s="33"/>
    </row>
    <row r="358" spans="30:31" ht="12" x14ac:dyDescent="0.3">
      <c r="AD358" s="33"/>
      <c r="AE358" s="33"/>
    </row>
    <row r="359" spans="30:31" ht="12" x14ac:dyDescent="0.3">
      <c r="AD359" s="33"/>
      <c r="AE359" s="33"/>
    </row>
    <row r="360" spans="30:31" ht="12" x14ac:dyDescent="0.3">
      <c r="AD360" s="33"/>
      <c r="AE360" s="33"/>
    </row>
    <row r="361" spans="30:31" ht="12" x14ac:dyDescent="0.3">
      <c r="AD361" s="33"/>
      <c r="AE361" s="33"/>
    </row>
    <row r="362" spans="30:31" ht="12" x14ac:dyDescent="0.3">
      <c r="AD362" s="33"/>
      <c r="AE362" s="33"/>
    </row>
    <row r="363" spans="30:31" ht="12" x14ac:dyDescent="0.3">
      <c r="AD363" s="33"/>
      <c r="AE363" s="33"/>
    </row>
    <row r="364" spans="30:31" ht="12" x14ac:dyDescent="0.3">
      <c r="AD364" s="33"/>
      <c r="AE364" s="33"/>
    </row>
    <row r="365" spans="30:31" ht="12" x14ac:dyDescent="0.3">
      <c r="AD365" s="33"/>
      <c r="AE365" s="33"/>
    </row>
    <row r="366" spans="30:31" ht="12" x14ac:dyDescent="0.3">
      <c r="AD366" s="33"/>
      <c r="AE366" s="33"/>
    </row>
    <row r="367" spans="30:31" ht="12" x14ac:dyDescent="0.3">
      <c r="AD367" s="33"/>
      <c r="AE367" s="33"/>
    </row>
    <row r="368" spans="30:31" ht="12" x14ac:dyDescent="0.3">
      <c r="AD368" s="33"/>
      <c r="AE368" s="33"/>
    </row>
    <row r="369" spans="30:31" ht="12" x14ac:dyDescent="0.3">
      <c r="AD369" s="33"/>
      <c r="AE369" s="33"/>
    </row>
    <row r="370" spans="30:31" ht="12" x14ac:dyDescent="0.3">
      <c r="AD370" s="33"/>
      <c r="AE370" s="33"/>
    </row>
    <row r="371" spans="30:31" ht="12" x14ac:dyDescent="0.3">
      <c r="AD371" s="33"/>
      <c r="AE371" s="33"/>
    </row>
    <row r="372" spans="30:31" ht="12" x14ac:dyDescent="0.3">
      <c r="AD372" s="33"/>
      <c r="AE372" s="33"/>
    </row>
    <row r="373" spans="30:31" ht="12" x14ac:dyDescent="0.3">
      <c r="AD373" s="33"/>
      <c r="AE373" s="33"/>
    </row>
    <row r="374" spans="30:31" ht="12" x14ac:dyDescent="0.3">
      <c r="AD374" s="33"/>
      <c r="AE374" s="33"/>
    </row>
    <row r="375" spans="30:31" ht="12" x14ac:dyDescent="0.3">
      <c r="AD375" s="33"/>
      <c r="AE375" s="33"/>
    </row>
    <row r="376" spans="30:31" ht="12" x14ac:dyDescent="0.3">
      <c r="AD376" s="33"/>
      <c r="AE376" s="33"/>
    </row>
    <row r="377" spans="30:31" ht="12" x14ac:dyDescent="0.3">
      <c r="AD377" s="33"/>
      <c r="AE377" s="33"/>
    </row>
    <row r="378" spans="30:31" ht="12" x14ac:dyDescent="0.3">
      <c r="AD378" s="33"/>
      <c r="AE378" s="33"/>
    </row>
    <row r="379" spans="30:31" ht="12" x14ac:dyDescent="0.3">
      <c r="AD379" s="33"/>
      <c r="AE379" s="33"/>
    </row>
    <row r="380" spans="30:31" ht="12" x14ac:dyDescent="0.3">
      <c r="AD380" s="33"/>
      <c r="AE380" s="33"/>
    </row>
    <row r="381" spans="30:31" ht="12" x14ac:dyDescent="0.3">
      <c r="AD381" s="33"/>
      <c r="AE381" s="33"/>
    </row>
    <row r="382" spans="30:31" ht="12" x14ac:dyDescent="0.3">
      <c r="AD382" s="33"/>
      <c r="AE382" s="33"/>
    </row>
    <row r="383" spans="30:31" ht="12" x14ac:dyDescent="0.3">
      <c r="AD383" s="33"/>
      <c r="AE383" s="33"/>
    </row>
    <row r="384" spans="30:31" ht="12" x14ac:dyDescent="0.3">
      <c r="AD384" s="33"/>
      <c r="AE384" s="33"/>
    </row>
    <row r="385" spans="30:31" ht="12" x14ac:dyDescent="0.3">
      <c r="AD385" s="33"/>
      <c r="AE385" s="33"/>
    </row>
    <row r="386" spans="30:31" ht="12" x14ac:dyDescent="0.3">
      <c r="AD386" s="33"/>
      <c r="AE386" s="33"/>
    </row>
    <row r="387" spans="30:31" ht="12" x14ac:dyDescent="0.3">
      <c r="AD387" s="33"/>
      <c r="AE387" s="33"/>
    </row>
    <row r="388" spans="30:31" ht="12" x14ac:dyDescent="0.3">
      <c r="AD388" s="33"/>
      <c r="AE388" s="33"/>
    </row>
    <row r="389" spans="30:31" ht="12" x14ac:dyDescent="0.3">
      <c r="AD389" s="33"/>
      <c r="AE389" s="33"/>
    </row>
    <row r="390" spans="30:31" ht="12" x14ac:dyDescent="0.3">
      <c r="AD390" s="33"/>
      <c r="AE390" s="33"/>
    </row>
    <row r="391" spans="30:31" ht="12" x14ac:dyDescent="0.3">
      <c r="AD391" s="33"/>
      <c r="AE391" s="33"/>
    </row>
    <row r="392" spans="30:31" ht="12" x14ac:dyDescent="0.3">
      <c r="AD392" s="33"/>
      <c r="AE392" s="33"/>
    </row>
    <row r="393" spans="30:31" ht="12" x14ac:dyDescent="0.3">
      <c r="AD393" s="33"/>
      <c r="AE393" s="33"/>
    </row>
    <row r="394" spans="30:31" ht="12" x14ac:dyDescent="0.3">
      <c r="AD394" s="33"/>
      <c r="AE394" s="33"/>
    </row>
    <row r="395" spans="30:31" ht="12" x14ac:dyDescent="0.3">
      <c r="AD395" s="33"/>
      <c r="AE395" s="33"/>
    </row>
    <row r="396" spans="30:31" ht="12" x14ac:dyDescent="0.3">
      <c r="AD396" s="33"/>
      <c r="AE396" s="33"/>
    </row>
    <row r="397" spans="30:31" ht="12" x14ac:dyDescent="0.3">
      <c r="AD397" s="33"/>
      <c r="AE397" s="33"/>
    </row>
    <row r="398" spans="30:31" ht="12" x14ac:dyDescent="0.3">
      <c r="AD398" s="33"/>
      <c r="AE398" s="33"/>
    </row>
    <row r="399" spans="30:31" ht="12" x14ac:dyDescent="0.3">
      <c r="AD399" s="33"/>
      <c r="AE399" s="33"/>
    </row>
    <row r="400" spans="30:31" ht="12" x14ac:dyDescent="0.3">
      <c r="AD400" s="33"/>
      <c r="AE400" s="33"/>
    </row>
    <row r="401" spans="30:31" ht="12" x14ac:dyDescent="0.3">
      <c r="AD401" s="33"/>
      <c r="AE401" s="33"/>
    </row>
    <row r="402" spans="30:31" ht="12" x14ac:dyDescent="0.3">
      <c r="AD402" s="33"/>
      <c r="AE402" s="33"/>
    </row>
    <row r="403" spans="30:31" ht="12" x14ac:dyDescent="0.3">
      <c r="AD403" s="33"/>
      <c r="AE403" s="33"/>
    </row>
    <row r="404" spans="30:31" ht="12" x14ac:dyDescent="0.3">
      <c r="AD404" s="33"/>
      <c r="AE404" s="33"/>
    </row>
    <row r="405" spans="30:31" ht="12" x14ac:dyDescent="0.3">
      <c r="AD405" s="33"/>
      <c r="AE405" s="33"/>
    </row>
    <row r="406" spans="30:31" ht="12" x14ac:dyDescent="0.3">
      <c r="AD406" s="33"/>
      <c r="AE406" s="33"/>
    </row>
    <row r="407" spans="30:31" ht="12" x14ac:dyDescent="0.3">
      <c r="AD407" s="33"/>
      <c r="AE407" s="33"/>
    </row>
    <row r="408" spans="30:31" ht="12" x14ac:dyDescent="0.3">
      <c r="AD408" s="33"/>
      <c r="AE408" s="33"/>
    </row>
    <row r="409" spans="30:31" ht="12" x14ac:dyDescent="0.3">
      <c r="AD409" s="33"/>
      <c r="AE409" s="33"/>
    </row>
    <row r="410" spans="30:31" ht="12" x14ac:dyDescent="0.3">
      <c r="AD410" s="33"/>
      <c r="AE410" s="33"/>
    </row>
    <row r="411" spans="30:31" ht="12" x14ac:dyDescent="0.3">
      <c r="AD411" s="33"/>
      <c r="AE411" s="33"/>
    </row>
    <row r="412" spans="30:31" ht="12" x14ac:dyDescent="0.3">
      <c r="AD412" s="33"/>
      <c r="AE412" s="33"/>
    </row>
    <row r="413" spans="30:31" ht="12" x14ac:dyDescent="0.3">
      <c r="AD413" s="33"/>
      <c r="AE413" s="33"/>
    </row>
    <row r="414" spans="30:31" ht="12" x14ac:dyDescent="0.3">
      <c r="AD414" s="33"/>
      <c r="AE414" s="33"/>
    </row>
    <row r="415" spans="30:31" ht="12" x14ac:dyDescent="0.3">
      <c r="AD415" s="33"/>
      <c r="AE415" s="33"/>
    </row>
    <row r="416" spans="30:31" ht="12" x14ac:dyDescent="0.3">
      <c r="AD416" s="33"/>
      <c r="AE416" s="33"/>
    </row>
    <row r="417" spans="30:31" ht="12" x14ac:dyDescent="0.3">
      <c r="AD417" s="33"/>
      <c r="AE417" s="33"/>
    </row>
    <row r="418" spans="30:31" ht="12" x14ac:dyDescent="0.3">
      <c r="AD418" s="33"/>
      <c r="AE418" s="33"/>
    </row>
    <row r="419" spans="30:31" ht="12" x14ac:dyDescent="0.3">
      <c r="AD419" s="33"/>
      <c r="AE419" s="33"/>
    </row>
    <row r="420" spans="30:31" ht="12" x14ac:dyDescent="0.3">
      <c r="AD420" s="33"/>
      <c r="AE420" s="33"/>
    </row>
    <row r="421" spans="30:31" ht="12" x14ac:dyDescent="0.3">
      <c r="AD421" s="33"/>
      <c r="AE421" s="33"/>
    </row>
    <row r="422" spans="30:31" ht="12" x14ac:dyDescent="0.3">
      <c r="AD422" s="33"/>
      <c r="AE422" s="33"/>
    </row>
    <row r="423" spans="30:31" ht="12" x14ac:dyDescent="0.3">
      <c r="AD423" s="33"/>
      <c r="AE423" s="33"/>
    </row>
    <row r="424" spans="30:31" ht="12" x14ac:dyDescent="0.3">
      <c r="AD424" s="33"/>
      <c r="AE424" s="33"/>
    </row>
    <row r="425" spans="30:31" ht="12" x14ac:dyDescent="0.3">
      <c r="AD425" s="33"/>
      <c r="AE425" s="33"/>
    </row>
    <row r="426" spans="30:31" ht="12" x14ac:dyDescent="0.3">
      <c r="AD426" s="33"/>
      <c r="AE426" s="33"/>
    </row>
    <row r="427" spans="30:31" ht="12" x14ac:dyDescent="0.3">
      <c r="AD427" s="33"/>
      <c r="AE427" s="33"/>
    </row>
    <row r="428" spans="30:31" ht="12" x14ac:dyDescent="0.3">
      <c r="AD428" s="33"/>
      <c r="AE428" s="33"/>
    </row>
    <row r="429" spans="30:31" ht="12" x14ac:dyDescent="0.3">
      <c r="AD429" s="33"/>
      <c r="AE429" s="33"/>
    </row>
    <row r="430" spans="30:31" ht="12" x14ac:dyDescent="0.3">
      <c r="AD430" s="33"/>
      <c r="AE430" s="33"/>
    </row>
    <row r="431" spans="30:31" ht="12" x14ac:dyDescent="0.3">
      <c r="AD431" s="33"/>
      <c r="AE431" s="33"/>
    </row>
    <row r="432" spans="30:31" ht="12" x14ac:dyDescent="0.3">
      <c r="AD432" s="33"/>
      <c r="AE432" s="33"/>
    </row>
    <row r="433" spans="30:31" ht="12" x14ac:dyDescent="0.3">
      <c r="AD433" s="33"/>
      <c r="AE433" s="33"/>
    </row>
    <row r="434" spans="30:31" ht="12" x14ac:dyDescent="0.3">
      <c r="AD434" s="33"/>
      <c r="AE434" s="33"/>
    </row>
    <row r="435" spans="30:31" ht="12" x14ac:dyDescent="0.3">
      <c r="AD435" s="33"/>
      <c r="AE435" s="33"/>
    </row>
    <row r="436" spans="30:31" ht="12" x14ac:dyDescent="0.3">
      <c r="AD436" s="33"/>
      <c r="AE436" s="33"/>
    </row>
    <row r="437" spans="30:31" ht="12" x14ac:dyDescent="0.3">
      <c r="AD437" s="33"/>
      <c r="AE437" s="33"/>
    </row>
    <row r="438" spans="30:31" ht="12" x14ac:dyDescent="0.3">
      <c r="AD438" s="33"/>
      <c r="AE438" s="33"/>
    </row>
    <row r="439" spans="30:31" ht="12" x14ac:dyDescent="0.3">
      <c r="AD439" s="33"/>
      <c r="AE439" s="33"/>
    </row>
    <row r="440" spans="30:31" ht="12" x14ac:dyDescent="0.3">
      <c r="AD440" s="33"/>
      <c r="AE440" s="33"/>
    </row>
    <row r="441" spans="30:31" ht="12" x14ac:dyDescent="0.3">
      <c r="AD441" s="33"/>
      <c r="AE441" s="33"/>
    </row>
    <row r="442" spans="30:31" ht="12" x14ac:dyDescent="0.3">
      <c r="AD442" s="33"/>
      <c r="AE442" s="33"/>
    </row>
    <row r="443" spans="30:31" ht="12" x14ac:dyDescent="0.3">
      <c r="AD443" s="33"/>
      <c r="AE443" s="33"/>
    </row>
    <row r="444" spans="30:31" ht="12" x14ac:dyDescent="0.3">
      <c r="AD444" s="33"/>
      <c r="AE444" s="33"/>
    </row>
    <row r="445" spans="30:31" ht="12" x14ac:dyDescent="0.3">
      <c r="AD445" s="33"/>
      <c r="AE445" s="33"/>
    </row>
    <row r="446" spans="30:31" ht="12" x14ac:dyDescent="0.3">
      <c r="AD446" s="33"/>
      <c r="AE446" s="33"/>
    </row>
    <row r="447" spans="30:31" ht="12" x14ac:dyDescent="0.3">
      <c r="AD447" s="33"/>
      <c r="AE447" s="33"/>
    </row>
    <row r="448" spans="30:31" ht="12" x14ac:dyDescent="0.3">
      <c r="AD448" s="33"/>
      <c r="AE448" s="33"/>
    </row>
    <row r="449" spans="30:31" ht="12" x14ac:dyDescent="0.3">
      <c r="AD449" s="33"/>
      <c r="AE449" s="33"/>
    </row>
    <row r="450" spans="30:31" ht="12" x14ac:dyDescent="0.3">
      <c r="AD450" s="33"/>
      <c r="AE450" s="33"/>
    </row>
    <row r="451" spans="30:31" ht="12" x14ac:dyDescent="0.3">
      <c r="AD451" s="33"/>
      <c r="AE451" s="33"/>
    </row>
    <row r="452" spans="30:31" ht="12" x14ac:dyDescent="0.3">
      <c r="AD452" s="33"/>
      <c r="AE452" s="33"/>
    </row>
    <row r="453" spans="30:31" ht="12" x14ac:dyDescent="0.3">
      <c r="AD453" s="33"/>
      <c r="AE453" s="33"/>
    </row>
    <row r="454" spans="30:31" ht="12" x14ac:dyDescent="0.3">
      <c r="AD454" s="33"/>
      <c r="AE454" s="33"/>
    </row>
    <row r="455" spans="30:31" ht="12" x14ac:dyDescent="0.3">
      <c r="AD455" s="33"/>
      <c r="AE455" s="33"/>
    </row>
    <row r="456" spans="30:31" ht="12" x14ac:dyDescent="0.3">
      <c r="AD456" s="33"/>
      <c r="AE456" s="33"/>
    </row>
    <row r="457" spans="30:31" ht="12" x14ac:dyDescent="0.3">
      <c r="AD457" s="33"/>
      <c r="AE457" s="33"/>
    </row>
    <row r="458" spans="30:31" ht="12" x14ac:dyDescent="0.3">
      <c r="AD458" s="33"/>
      <c r="AE458" s="33"/>
    </row>
    <row r="459" spans="30:31" ht="12" x14ac:dyDescent="0.3">
      <c r="AD459" s="33"/>
      <c r="AE459" s="33"/>
    </row>
    <row r="460" spans="30:31" ht="12" x14ac:dyDescent="0.3">
      <c r="AD460" s="33"/>
      <c r="AE460" s="33"/>
    </row>
    <row r="461" spans="30:31" ht="12" x14ac:dyDescent="0.3">
      <c r="AD461" s="33"/>
      <c r="AE461" s="33"/>
    </row>
    <row r="462" spans="30:31" ht="12" x14ac:dyDescent="0.3">
      <c r="AD462" s="33"/>
      <c r="AE462" s="33"/>
    </row>
    <row r="463" spans="30:31" ht="12" x14ac:dyDescent="0.3">
      <c r="AD463" s="33"/>
      <c r="AE463" s="33"/>
    </row>
    <row r="464" spans="30:31" ht="12" x14ac:dyDescent="0.3">
      <c r="AD464" s="33"/>
      <c r="AE464" s="33"/>
    </row>
    <row r="465" spans="30:31" ht="12" x14ac:dyDescent="0.3">
      <c r="AD465" s="33"/>
      <c r="AE465" s="33"/>
    </row>
    <row r="466" spans="30:31" ht="12" x14ac:dyDescent="0.3">
      <c r="AD466" s="33"/>
      <c r="AE466" s="33"/>
    </row>
    <row r="467" spans="30:31" ht="12" x14ac:dyDescent="0.3">
      <c r="AD467" s="33"/>
      <c r="AE467" s="33"/>
    </row>
    <row r="468" spans="30:31" ht="12" x14ac:dyDescent="0.3">
      <c r="AD468" s="33"/>
      <c r="AE468" s="33"/>
    </row>
    <row r="469" spans="30:31" ht="12" x14ac:dyDescent="0.3">
      <c r="AD469" s="33"/>
      <c r="AE469" s="33"/>
    </row>
    <row r="470" spans="30:31" ht="12" x14ac:dyDescent="0.3">
      <c r="AD470" s="33"/>
      <c r="AE470" s="33"/>
    </row>
    <row r="471" spans="30:31" ht="12" x14ac:dyDescent="0.3">
      <c r="AD471" s="33"/>
      <c r="AE471" s="33"/>
    </row>
    <row r="472" spans="30:31" ht="12" x14ac:dyDescent="0.3">
      <c r="AD472" s="33"/>
      <c r="AE472" s="33"/>
    </row>
    <row r="473" spans="30:31" ht="12" x14ac:dyDescent="0.3">
      <c r="AD473" s="33"/>
      <c r="AE473" s="33"/>
    </row>
    <row r="474" spans="30:31" ht="12" x14ac:dyDescent="0.3">
      <c r="AD474" s="33"/>
      <c r="AE474" s="33"/>
    </row>
    <row r="475" spans="30:31" ht="12" x14ac:dyDescent="0.3">
      <c r="AD475" s="33"/>
      <c r="AE475" s="33"/>
    </row>
    <row r="476" spans="30:31" ht="12" x14ac:dyDescent="0.3">
      <c r="AD476" s="33"/>
      <c r="AE476" s="33"/>
    </row>
    <row r="477" spans="30:31" ht="12" x14ac:dyDescent="0.3">
      <c r="AD477" s="33"/>
      <c r="AE477" s="33"/>
    </row>
    <row r="478" spans="30:31" ht="12" x14ac:dyDescent="0.3">
      <c r="AD478" s="33"/>
      <c r="AE478" s="33"/>
    </row>
    <row r="479" spans="30:31" ht="12" x14ac:dyDescent="0.3">
      <c r="AD479" s="33"/>
      <c r="AE479" s="33"/>
    </row>
    <row r="480" spans="30:31" ht="12" x14ac:dyDescent="0.3">
      <c r="AD480" s="33"/>
      <c r="AE480" s="33"/>
    </row>
    <row r="481" spans="30:31" ht="12" x14ac:dyDescent="0.3">
      <c r="AD481" s="33"/>
      <c r="AE481" s="33"/>
    </row>
    <row r="482" spans="30:31" ht="12" x14ac:dyDescent="0.3">
      <c r="AD482" s="33"/>
      <c r="AE482" s="33"/>
    </row>
    <row r="483" spans="30:31" ht="12" x14ac:dyDescent="0.3">
      <c r="AD483" s="33"/>
      <c r="AE483" s="33"/>
    </row>
    <row r="484" spans="30:31" ht="12" x14ac:dyDescent="0.3">
      <c r="AD484" s="33"/>
      <c r="AE484" s="33"/>
    </row>
    <row r="485" spans="30:31" ht="12" x14ac:dyDescent="0.3">
      <c r="AD485" s="33"/>
      <c r="AE485" s="33"/>
    </row>
    <row r="486" spans="30:31" ht="12" x14ac:dyDescent="0.3">
      <c r="AD486" s="33"/>
      <c r="AE486" s="33"/>
    </row>
    <row r="487" spans="30:31" ht="12" x14ac:dyDescent="0.3">
      <c r="AD487" s="33"/>
      <c r="AE487" s="33"/>
    </row>
    <row r="488" spans="30:31" ht="12" x14ac:dyDescent="0.3">
      <c r="AD488" s="33"/>
      <c r="AE488" s="33"/>
    </row>
    <row r="489" spans="30:31" ht="12" x14ac:dyDescent="0.3">
      <c r="AD489" s="33"/>
      <c r="AE489" s="33"/>
    </row>
    <row r="490" spans="30:31" ht="12" x14ac:dyDescent="0.3">
      <c r="AD490" s="33"/>
      <c r="AE490" s="33"/>
    </row>
    <row r="491" spans="30:31" ht="12" x14ac:dyDescent="0.3">
      <c r="AD491" s="33"/>
      <c r="AE491" s="33"/>
    </row>
    <row r="492" spans="30:31" ht="12" x14ac:dyDescent="0.3">
      <c r="AD492" s="33"/>
      <c r="AE492" s="33"/>
    </row>
    <row r="493" spans="30:31" ht="12" x14ac:dyDescent="0.3">
      <c r="AD493" s="33"/>
      <c r="AE493" s="33"/>
    </row>
    <row r="494" spans="30:31" ht="12" x14ac:dyDescent="0.3">
      <c r="AD494" s="33"/>
      <c r="AE494" s="33"/>
    </row>
    <row r="495" spans="30:31" ht="12" x14ac:dyDescent="0.3">
      <c r="AD495" s="33"/>
      <c r="AE495" s="33"/>
    </row>
    <row r="496" spans="30:31" ht="12" x14ac:dyDescent="0.3">
      <c r="AD496" s="33"/>
      <c r="AE496" s="33"/>
    </row>
    <row r="497" spans="30:31" ht="12" x14ac:dyDescent="0.3">
      <c r="AD497" s="33"/>
      <c r="AE497" s="33"/>
    </row>
    <row r="498" spans="30:31" ht="12" x14ac:dyDescent="0.3">
      <c r="AD498" s="33"/>
      <c r="AE498" s="33"/>
    </row>
    <row r="499" spans="30:31" ht="12" x14ac:dyDescent="0.3">
      <c r="AD499" s="33"/>
      <c r="AE499" s="33"/>
    </row>
    <row r="500" spans="30:31" ht="12" x14ac:dyDescent="0.3">
      <c r="AD500" s="33"/>
      <c r="AE500" s="33"/>
    </row>
    <row r="501" spans="30:31" ht="12" x14ac:dyDescent="0.3">
      <c r="AD501" s="33"/>
      <c r="AE501" s="33"/>
    </row>
    <row r="502" spans="30:31" ht="12" x14ac:dyDescent="0.3">
      <c r="AD502" s="33"/>
      <c r="AE502" s="33"/>
    </row>
    <row r="503" spans="30:31" ht="12" x14ac:dyDescent="0.3">
      <c r="AD503" s="33"/>
      <c r="AE503" s="33"/>
    </row>
    <row r="504" spans="30:31" ht="12" x14ac:dyDescent="0.3">
      <c r="AD504" s="33"/>
      <c r="AE504" s="33"/>
    </row>
    <row r="505" spans="30:31" ht="12" x14ac:dyDescent="0.3">
      <c r="AD505" s="33"/>
      <c r="AE505" s="33"/>
    </row>
    <row r="506" spans="30:31" ht="12" x14ac:dyDescent="0.3">
      <c r="AD506" s="33"/>
      <c r="AE506" s="33"/>
    </row>
    <row r="507" spans="30:31" ht="12" x14ac:dyDescent="0.3">
      <c r="AD507" s="33"/>
      <c r="AE507" s="33"/>
    </row>
    <row r="508" spans="30:31" ht="12" x14ac:dyDescent="0.3">
      <c r="AD508" s="33"/>
      <c r="AE508" s="33"/>
    </row>
    <row r="509" spans="30:31" ht="12" x14ac:dyDescent="0.3">
      <c r="AD509" s="33"/>
      <c r="AE509" s="33"/>
    </row>
    <row r="510" spans="30:31" ht="12" x14ac:dyDescent="0.3">
      <c r="AD510" s="33"/>
      <c r="AE510" s="33"/>
    </row>
    <row r="511" spans="30:31" ht="12" x14ac:dyDescent="0.3">
      <c r="AD511" s="33"/>
      <c r="AE511" s="33"/>
    </row>
    <row r="512" spans="30:31" ht="12" x14ac:dyDescent="0.3">
      <c r="AD512" s="33"/>
      <c r="AE512" s="33"/>
    </row>
    <row r="513" spans="30:31" ht="12" x14ac:dyDescent="0.3">
      <c r="AD513" s="33"/>
      <c r="AE513" s="33"/>
    </row>
    <row r="514" spans="30:31" ht="12" x14ac:dyDescent="0.3">
      <c r="AD514" s="33"/>
      <c r="AE514" s="33"/>
    </row>
    <row r="515" spans="30:31" ht="12" x14ac:dyDescent="0.3">
      <c r="AD515" s="33"/>
      <c r="AE515" s="33"/>
    </row>
    <row r="516" spans="30:31" ht="12" x14ac:dyDescent="0.3">
      <c r="AD516" s="33"/>
      <c r="AE516" s="33"/>
    </row>
    <row r="517" spans="30:31" ht="12" x14ac:dyDescent="0.3">
      <c r="AD517" s="33"/>
      <c r="AE517" s="33"/>
    </row>
    <row r="518" spans="30:31" ht="12" x14ac:dyDescent="0.3">
      <c r="AD518" s="33"/>
      <c r="AE518" s="33"/>
    </row>
    <row r="519" spans="30:31" ht="12" x14ac:dyDescent="0.3">
      <c r="AD519" s="33"/>
      <c r="AE519" s="33"/>
    </row>
    <row r="520" spans="30:31" ht="12" x14ac:dyDescent="0.3">
      <c r="AD520" s="33"/>
      <c r="AE520" s="33"/>
    </row>
    <row r="521" spans="30:31" ht="12" x14ac:dyDescent="0.3">
      <c r="AD521" s="33"/>
      <c r="AE521" s="33"/>
    </row>
    <row r="522" spans="30:31" ht="12" x14ac:dyDescent="0.3">
      <c r="AD522" s="33"/>
      <c r="AE522" s="33"/>
    </row>
    <row r="523" spans="30:31" ht="12" x14ac:dyDescent="0.3">
      <c r="AD523" s="33"/>
      <c r="AE523" s="33"/>
    </row>
    <row r="524" spans="30:31" ht="12" x14ac:dyDescent="0.3">
      <c r="AD524" s="33"/>
      <c r="AE524" s="33"/>
    </row>
    <row r="525" spans="30:31" ht="12" x14ac:dyDescent="0.3">
      <c r="AD525" s="33"/>
      <c r="AE525" s="33"/>
    </row>
    <row r="526" spans="30:31" ht="12" x14ac:dyDescent="0.3">
      <c r="AD526" s="33"/>
      <c r="AE526" s="33"/>
    </row>
    <row r="527" spans="30:31" ht="12" x14ac:dyDescent="0.3">
      <c r="AD527" s="33"/>
      <c r="AE527" s="33"/>
    </row>
    <row r="528" spans="30:31" ht="12" x14ac:dyDescent="0.3">
      <c r="AD528" s="33"/>
      <c r="AE528" s="33"/>
    </row>
    <row r="529" spans="30:31" ht="12" x14ac:dyDescent="0.3">
      <c r="AD529" s="33"/>
      <c r="AE529" s="33"/>
    </row>
    <row r="530" spans="30:31" ht="12" x14ac:dyDescent="0.3">
      <c r="AD530" s="33"/>
      <c r="AE530" s="33"/>
    </row>
    <row r="531" spans="30:31" ht="12" x14ac:dyDescent="0.3">
      <c r="AD531" s="33"/>
      <c r="AE531" s="33"/>
    </row>
    <row r="532" spans="30:31" ht="12" x14ac:dyDescent="0.3">
      <c r="AD532" s="33"/>
      <c r="AE532" s="33"/>
    </row>
    <row r="533" spans="30:31" ht="12" x14ac:dyDescent="0.3">
      <c r="AD533" s="33"/>
      <c r="AE533" s="33"/>
    </row>
    <row r="534" spans="30:31" ht="12" x14ac:dyDescent="0.3">
      <c r="AD534" s="33"/>
      <c r="AE534" s="33"/>
    </row>
    <row r="535" spans="30:31" ht="12" x14ac:dyDescent="0.3">
      <c r="AD535" s="33"/>
      <c r="AE535" s="33"/>
    </row>
    <row r="536" spans="30:31" ht="12" x14ac:dyDescent="0.3">
      <c r="AD536" s="33"/>
      <c r="AE536" s="33"/>
    </row>
    <row r="537" spans="30:31" ht="12" x14ac:dyDescent="0.3">
      <c r="AD537" s="33"/>
      <c r="AE537" s="33"/>
    </row>
    <row r="538" spans="30:31" ht="12" x14ac:dyDescent="0.3">
      <c r="AD538" s="33"/>
      <c r="AE538" s="33"/>
    </row>
    <row r="539" spans="30:31" ht="12" x14ac:dyDescent="0.3">
      <c r="AD539" s="33"/>
      <c r="AE539" s="33"/>
    </row>
    <row r="540" spans="30:31" ht="12" x14ac:dyDescent="0.3">
      <c r="AD540" s="33"/>
      <c r="AE540" s="33"/>
    </row>
    <row r="541" spans="30:31" ht="12" x14ac:dyDescent="0.3">
      <c r="AD541" s="33"/>
      <c r="AE541" s="33"/>
    </row>
    <row r="542" spans="30:31" ht="12" x14ac:dyDescent="0.3">
      <c r="AD542" s="33"/>
      <c r="AE542" s="33"/>
    </row>
    <row r="543" spans="30:31" ht="12" x14ac:dyDescent="0.3">
      <c r="AD543" s="33"/>
      <c r="AE543" s="33"/>
    </row>
    <row r="544" spans="30:31" ht="12" x14ac:dyDescent="0.3">
      <c r="AD544" s="33"/>
      <c r="AE544" s="33"/>
    </row>
    <row r="545" spans="30:31" ht="12" x14ac:dyDescent="0.3">
      <c r="AD545" s="33"/>
      <c r="AE545" s="33"/>
    </row>
    <row r="546" spans="30:31" ht="12" x14ac:dyDescent="0.3">
      <c r="AD546" s="33"/>
      <c r="AE546" s="33"/>
    </row>
    <row r="547" spans="30:31" ht="12" x14ac:dyDescent="0.3">
      <c r="AD547" s="33"/>
      <c r="AE547" s="33"/>
    </row>
    <row r="548" spans="30:31" ht="12" x14ac:dyDescent="0.3">
      <c r="AD548" s="33"/>
      <c r="AE548" s="33"/>
    </row>
    <row r="549" spans="30:31" ht="12" x14ac:dyDescent="0.3">
      <c r="AD549" s="33"/>
      <c r="AE549" s="33"/>
    </row>
    <row r="550" spans="30:31" ht="12" x14ac:dyDescent="0.3">
      <c r="AD550" s="33"/>
      <c r="AE550" s="33"/>
    </row>
    <row r="551" spans="30:31" ht="12" x14ac:dyDescent="0.3">
      <c r="AD551" s="33"/>
      <c r="AE551" s="33"/>
    </row>
    <row r="552" spans="30:31" ht="12" x14ac:dyDescent="0.3">
      <c r="AD552" s="33"/>
      <c r="AE552" s="33"/>
    </row>
    <row r="553" spans="30:31" ht="12" x14ac:dyDescent="0.3">
      <c r="AD553" s="33"/>
      <c r="AE553" s="33"/>
    </row>
    <row r="554" spans="30:31" ht="12" x14ac:dyDescent="0.3">
      <c r="AD554" s="33"/>
      <c r="AE554" s="33"/>
    </row>
    <row r="555" spans="30:31" ht="12" x14ac:dyDescent="0.3">
      <c r="AD555" s="33"/>
      <c r="AE555" s="33"/>
    </row>
    <row r="556" spans="30:31" ht="12" x14ac:dyDescent="0.3">
      <c r="AD556" s="33"/>
      <c r="AE556" s="33"/>
    </row>
    <row r="557" spans="30:31" ht="12" x14ac:dyDescent="0.3">
      <c r="AD557" s="33"/>
      <c r="AE557" s="33"/>
    </row>
    <row r="558" spans="30:31" ht="12" x14ac:dyDescent="0.3">
      <c r="AD558" s="33"/>
      <c r="AE558" s="33"/>
    </row>
    <row r="559" spans="30:31" ht="12" x14ac:dyDescent="0.3">
      <c r="AD559" s="33"/>
      <c r="AE559" s="33"/>
    </row>
    <row r="560" spans="30:31" ht="12" x14ac:dyDescent="0.3">
      <c r="AD560" s="33"/>
      <c r="AE560" s="33"/>
    </row>
    <row r="561" spans="30:31" ht="12" x14ac:dyDescent="0.3">
      <c r="AD561" s="33"/>
      <c r="AE561" s="33"/>
    </row>
    <row r="562" spans="30:31" ht="12" x14ac:dyDescent="0.3">
      <c r="AD562" s="33"/>
      <c r="AE562" s="33"/>
    </row>
    <row r="563" spans="30:31" ht="12" x14ac:dyDescent="0.3">
      <c r="AD563" s="33"/>
      <c r="AE563" s="33"/>
    </row>
    <row r="564" spans="30:31" ht="12" x14ac:dyDescent="0.3">
      <c r="AD564" s="33"/>
      <c r="AE564" s="33"/>
    </row>
    <row r="565" spans="30:31" ht="12" x14ac:dyDescent="0.3">
      <c r="AD565" s="33"/>
      <c r="AE565" s="33"/>
    </row>
    <row r="566" spans="30:31" ht="12" x14ac:dyDescent="0.3">
      <c r="AD566" s="33"/>
      <c r="AE566" s="33"/>
    </row>
    <row r="567" spans="30:31" ht="12" x14ac:dyDescent="0.3">
      <c r="AD567" s="33"/>
      <c r="AE567" s="33"/>
    </row>
    <row r="568" spans="30:31" ht="12" x14ac:dyDescent="0.3">
      <c r="AD568" s="33"/>
      <c r="AE568" s="33"/>
    </row>
    <row r="569" spans="30:31" ht="12" x14ac:dyDescent="0.3">
      <c r="AD569" s="33"/>
      <c r="AE569" s="33"/>
    </row>
    <row r="570" spans="30:31" ht="12" x14ac:dyDescent="0.3">
      <c r="AD570" s="33"/>
      <c r="AE570" s="33"/>
    </row>
    <row r="571" spans="30:31" ht="12" x14ac:dyDescent="0.3">
      <c r="AD571" s="33"/>
      <c r="AE571" s="33"/>
    </row>
    <row r="572" spans="30:31" ht="12" x14ac:dyDescent="0.3">
      <c r="AD572" s="33"/>
      <c r="AE572" s="33"/>
    </row>
    <row r="573" spans="30:31" ht="12" x14ac:dyDescent="0.3">
      <c r="AD573" s="33"/>
      <c r="AE573" s="33"/>
    </row>
    <row r="574" spans="30:31" ht="12" x14ac:dyDescent="0.3">
      <c r="AD574" s="33"/>
      <c r="AE574" s="33"/>
    </row>
    <row r="575" spans="30:31" ht="12" x14ac:dyDescent="0.3">
      <c r="AD575" s="33"/>
      <c r="AE575" s="33"/>
    </row>
    <row r="576" spans="30:31" ht="12" x14ac:dyDescent="0.3">
      <c r="AD576" s="33"/>
      <c r="AE576" s="33"/>
    </row>
    <row r="577" spans="30:31" ht="12" x14ac:dyDescent="0.3">
      <c r="AD577" s="33"/>
      <c r="AE577" s="33"/>
    </row>
    <row r="578" spans="30:31" ht="12" x14ac:dyDescent="0.3">
      <c r="AD578" s="33"/>
      <c r="AE578" s="33"/>
    </row>
    <row r="579" spans="30:31" ht="12" x14ac:dyDescent="0.3">
      <c r="AD579" s="33"/>
      <c r="AE579" s="33"/>
    </row>
    <row r="580" spans="30:31" ht="12" x14ac:dyDescent="0.3">
      <c r="AD580" s="33"/>
      <c r="AE580" s="33"/>
    </row>
    <row r="581" spans="30:31" ht="12" x14ac:dyDescent="0.3">
      <c r="AD581" s="33"/>
      <c r="AE581" s="33"/>
    </row>
    <row r="582" spans="30:31" ht="12" x14ac:dyDescent="0.3">
      <c r="AD582" s="33"/>
      <c r="AE582" s="33"/>
    </row>
    <row r="583" spans="30:31" ht="12" x14ac:dyDescent="0.3">
      <c r="AD583" s="33"/>
      <c r="AE583" s="33"/>
    </row>
    <row r="584" spans="30:31" ht="12" x14ac:dyDescent="0.3">
      <c r="AD584" s="33"/>
      <c r="AE584" s="33"/>
    </row>
    <row r="585" spans="30:31" ht="12" x14ac:dyDescent="0.3">
      <c r="AD585" s="33"/>
      <c r="AE585" s="33"/>
    </row>
    <row r="586" spans="30:31" ht="12" x14ac:dyDescent="0.3">
      <c r="AD586" s="33"/>
      <c r="AE586" s="33"/>
    </row>
    <row r="587" spans="30:31" ht="12" x14ac:dyDescent="0.3">
      <c r="AD587" s="33"/>
      <c r="AE587" s="33"/>
    </row>
    <row r="588" spans="30:31" ht="12" x14ac:dyDescent="0.3">
      <c r="AD588" s="33"/>
      <c r="AE588" s="33"/>
    </row>
    <row r="589" spans="30:31" ht="12" x14ac:dyDescent="0.3">
      <c r="AD589" s="33"/>
      <c r="AE589" s="33"/>
    </row>
    <row r="590" spans="30:31" ht="12" x14ac:dyDescent="0.3">
      <c r="AD590" s="33"/>
      <c r="AE590" s="33"/>
    </row>
    <row r="591" spans="30:31" ht="12" x14ac:dyDescent="0.3">
      <c r="AD591" s="33"/>
      <c r="AE591" s="33"/>
    </row>
    <row r="592" spans="30:31" ht="12" x14ac:dyDescent="0.3">
      <c r="AD592" s="33"/>
      <c r="AE592" s="33"/>
    </row>
    <row r="593" spans="30:31" ht="12" x14ac:dyDescent="0.3">
      <c r="AD593" s="33"/>
      <c r="AE593" s="33"/>
    </row>
    <row r="594" spans="30:31" ht="12" x14ac:dyDescent="0.3">
      <c r="AD594" s="33"/>
      <c r="AE594" s="33"/>
    </row>
    <row r="595" spans="30:31" ht="12" x14ac:dyDescent="0.3">
      <c r="AD595" s="33"/>
      <c r="AE595" s="33"/>
    </row>
    <row r="596" spans="30:31" ht="12" x14ac:dyDescent="0.3">
      <c r="AD596" s="33"/>
      <c r="AE596" s="33"/>
    </row>
    <row r="597" spans="30:31" ht="12" x14ac:dyDescent="0.3">
      <c r="AD597" s="33"/>
      <c r="AE597" s="33"/>
    </row>
    <row r="598" spans="30:31" ht="12" x14ac:dyDescent="0.3">
      <c r="AD598" s="33"/>
      <c r="AE598" s="33"/>
    </row>
    <row r="599" spans="30:31" ht="12" x14ac:dyDescent="0.3">
      <c r="AD599" s="33"/>
      <c r="AE599" s="33"/>
    </row>
    <row r="600" spans="30:31" ht="12" x14ac:dyDescent="0.3">
      <c r="AD600" s="33"/>
      <c r="AE600" s="33"/>
    </row>
    <row r="601" spans="30:31" ht="12" x14ac:dyDescent="0.3">
      <c r="AD601" s="33"/>
      <c r="AE601" s="33"/>
    </row>
    <row r="602" spans="30:31" ht="12" x14ac:dyDescent="0.3">
      <c r="AD602" s="33"/>
      <c r="AE602" s="33"/>
    </row>
    <row r="603" spans="30:31" ht="12" x14ac:dyDescent="0.3">
      <c r="AD603" s="33"/>
      <c r="AE603" s="33"/>
    </row>
    <row r="604" spans="30:31" ht="12" x14ac:dyDescent="0.3">
      <c r="AD604" s="33"/>
      <c r="AE604" s="33"/>
    </row>
    <row r="605" spans="30:31" ht="12" x14ac:dyDescent="0.3">
      <c r="AD605" s="33"/>
      <c r="AE605" s="33"/>
    </row>
    <row r="606" spans="30:31" ht="12" x14ac:dyDescent="0.3">
      <c r="AD606" s="33"/>
      <c r="AE606" s="33"/>
    </row>
    <row r="607" spans="30:31" ht="12" x14ac:dyDescent="0.3">
      <c r="AD607" s="33"/>
      <c r="AE607" s="33"/>
    </row>
    <row r="608" spans="30:31" ht="12" x14ac:dyDescent="0.3">
      <c r="AD608" s="33"/>
      <c r="AE608" s="33"/>
    </row>
    <row r="609" spans="30:31" ht="12" x14ac:dyDescent="0.3">
      <c r="AD609" s="33"/>
      <c r="AE609" s="33"/>
    </row>
    <row r="610" spans="30:31" ht="12" x14ac:dyDescent="0.3">
      <c r="AD610" s="33"/>
      <c r="AE610" s="33"/>
    </row>
    <row r="611" spans="30:31" ht="12" x14ac:dyDescent="0.3">
      <c r="AD611" s="33"/>
      <c r="AE611" s="33"/>
    </row>
    <row r="612" spans="30:31" ht="12" x14ac:dyDescent="0.3">
      <c r="AD612" s="33"/>
      <c r="AE612" s="33"/>
    </row>
    <row r="613" spans="30:31" ht="12" x14ac:dyDescent="0.3">
      <c r="AD613" s="33"/>
      <c r="AE613" s="33"/>
    </row>
    <row r="614" spans="30:31" ht="12" x14ac:dyDescent="0.3">
      <c r="AD614" s="33"/>
      <c r="AE614" s="33"/>
    </row>
    <row r="615" spans="30:31" ht="12" x14ac:dyDescent="0.3">
      <c r="AD615" s="33"/>
      <c r="AE615" s="33"/>
    </row>
    <row r="616" spans="30:31" ht="12" x14ac:dyDescent="0.3">
      <c r="AD616" s="33"/>
      <c r="AE616" s="33"/>
    </row>
    <row r="617" spans="30:31" ht="12" x14ac:dyDescent="0.3">
      <c r="AD617" s="33"/>
      <c r="AE617" s="33"/>
    </row>
    <row r="618" spans="30:31" ht="12" x14ac:dyDescent="0.3">
      <c r="AD618" s="33"/>
      <c r="AE618" s="33"/>
    </row>
    <row r="619" spans="30:31" ht="12" x14ac:dyDescent="0.3">
      <c r="AD619" s="33"/>
      <c r="AE619" s="33"/>
    </row>
    <row r="620" spans="30:31" ht="12" x14ac:dyDescent="0.3">
      <c r="AD620" s="33"/>
      <c r="AE620" s="33"/>
    </row>
    <row r="621" spans="30:31" ht="12" x14ac:dyDescent="0.3">
      <c r="AD621" s="33"/>
      <c r="AE621" s="33"/>
    </row>
    <row r="622" spans="30:31" ht="12" x14ac:dyDescent="0.3">
      <c r="AD622" s="33"/>
      <c r="AE622" s="33"/>
    </row>
    <row r="623" spans="30:31" ht="12" x14ac:dyDescent="0.3">
      <c r="AD623" s="33"/>
      <c r="AE623" s="33"/>
    </row>
    <row r="624" spans="30:31" ht="12" x14ac:dyDescent="0.3">
      <c r="AD624" s="33"/>
      <c r="AE624" s="33"/>
    </row>
    <row r="625" spans="30:31" ht="12" x14ac:dyDescent="0.3">
      <c r="AD625" s="33"/>
      <c r="AE625" s="33"/>
    </row>
    <row r="626" spans="30:31" ht="12" x14ac:dyDescent="0.3">
      <c r="AD626" s="33"/>
      <c r="AE626" s="33"/>
    </row>
    <row r="627" spans="30:31" ht="12" x14ac:dyDescent="0.3">
      <c r="AD627" s="33"/>
      <c r="AE627" s="33"/>
    </row>
    <row r="628" spans="30:31" ht="12" x14ac:dyDescent="0.3">
      <c r="AD628" s="33"/>
      <c r="AE628" s="33"/>
    </row>
    <row r="629" spans="30:31" ht="12" x14ac:dyDescent="0.3">
      <c r="AD629" s="33"/>
      <c r="AE629" s="33"/>
    </row>
    <row r="630" spans="30:31" ht="12" x14ac:dyDescent="0.3">
      <c r="AD630" s="33"/>
      <c r="AE630" s="33"/>
    </row>
    <row r="631" spans="30:31" ht="12" x14ac:dyDescent="0.3">
      <c r="AD631" s="33"/>
      <c r="AE631" s="33"/>
    </row>
    <row r="632" spans="30:31" ht="12" x14ac:dyDescent="0.3">
      <c r="AD632" s="33"/>
      <c r="AE632" s="33"/>
    </row>
    <row r="633" spans="30:31" ht="12" x14ac:dyDescent="0.3">
      <c r="AD633" s="33"/>
      <c r="AE633" s="33"/>
    </row>
    <row r="634" spans="30:31" ht="12" x14ac:dyDescent="0.3">
      <c r="AD634" s="33"/>
      <c r="AE634" s="33"/>
    </row>
    <row r="635" spans="30:31" ht="12" x14ac:dyDescent="0.3">
      <c r="AD635" s="33"/>
      <c r="AE635" s="33"/>
    </row>
    <row r="636" spans="30:31" ht="12" x14ac:dyDescent="0.3">
      <c r="AD636" s="33"/>
      <c r="AE636" s="33"/>
    </row>
    <row r="637" spans="30:31" ht="12" x14ac:dyDescent="0.3">
      <c r="AD637" s="33"/>
      <c r="AE637" s="33"/>
    </row>
    <row r="638" spans="30:31" ht="12" x14ac:dyDescent="0.3">
      <c r="AD638" s="33"/>
      <c r="AE638" s="33"/>
    </row>
    <row r="639" spans="30:31" ht="12" x14ac:dyDescent="0.3">
      <c r="AD639" s="33"/>
      <c r="AE639" s="33"/>
    </row>
    <row r="640" spans="30:31" ht="12" x14ac:dyDescent="0.3">
      <c r="AD640" s="33"/>
      <c r="AE640" s="33"/>
    </row>
    <row r="641" spans="30:31" ht="12" x14ac:dyDescent="0.3">
      <c r="AD641" s="33"/>
      <c r="AE641" s="33"/>
    </row>
    <row r="642" spans="30:31" ht="12" x14ac:dyDescent="0.3">
      <c r="AD642" s="33"/>
      <c r="AE642" s="33"/>
    </row>
    <row r="643" spans="30:31" ht="12" x14ac:dyDescent="0.3">
      <c r="AD643" s="33"/>
      <c r="AE643" s="33"/>
    </row>
    <row r="644" spans="30:31" ht="12" x14ac:dyDescent="0.3">
      <c r="AD644" s="33"/>
      <c r="AE644" s="33"/>
    </row>
    <row r="645" spans="30:31" ht="12" x14ac:dyDescent="0.3">
      <c r="AD645" s="33"/>
      <c r="AE645" s="33"/>
    </row>
    <row r="646" spans="30:31" ht="12" x14ac:dyDescent="0.3">
      <c r="AD646" s="33"/>
      <c r="AE646" s="33"/>
    </row>
    <row r="647" spans="30:31" ht="12" x14ac:dyDescent="0.3">
      <c r="AD647" s="33"/>
      <c r="AE647" s="33"/>
    </row>
    <row r="648" spans="30:31" ht="12" x14ac:dyDescent="0.3">
      <c r="AD648" s="33"/>
      <c r="AE648" s="33"/>
    </row>
    <row r="649" spans="30:31" ht="12" x14ac:dyDescent="0.3">
      <c r="AD649" s="33"/>
      <c r="AE649" s="33"/>
    </row>
    <row r="650" spans="30:31" ht="12" x14ac:dyDescent="0.3">
      <c r="AD650" s="33"/>
      <c r="AE650" s="33"/>
    </row>
    <row r="651" spans="30:31" ht="12" x14ac:dyDescent="0.3">
      <c r="AD651" s="33"/>
      <c r="AE651" s="33"/>
    </row>
    <row r="652" spans="30:31" ht="12" x14ac:dyDescent="0.3">
      <c r="AD652" s="33"/>
      <c r="AE652" s="33"/>
    </row>
    <row r="653" spans="30:31" ht="12" x14ac:dyDescent="0.3">
      <c r="AD653" s="33"/>
      <c r="AE653" s="33"/>
    </row>
    <row r="654" spans="30:31" ht="12" x14ac:dyDescent="0.3">
      <c r="AD654" s="33"/>
      <c r="AE654" s="33"/>
    </row>
    <row r="655" spans="30:31" ht="12" x14ac:dyDescent="0.3">
      <c r="AD655" s="33"/>
      <c r="AE655" s="33"/>
    </row>
    <row r="656" spans="30:31" ht="12" x14ac:dyDescent="0.3">
      <c r="AD656" s="33"/>
      <c r="AE656" s="33"/>
    </row>
    <row r="657" spans="30:31" ht="12" x14ac:dyDescent="0.3">
      <c r="AD657" s="33"/>
      <c r="AE657" s="33"/>
    </row>
    <row r="658" spans="30:31" ht="12" x14ac:dyDescent="0.3">
      <c r="AD658" s="33"/>
      <c r="AE658" s="33"/>
    </row>
    <row r="659" spans="30:31" ht="12" x14ac:dyDescent="0.3">
      <c r="AD659" s="33"/>
      <c r="AE659" s="33"/>
    </row>
    <row r="660" spans="30:31" ht="12" x14ac:dyDescent="0.3">
      <c r="AD660" s="33"/>
      <c r="AE660" s="33"/>
    </row>
    <row r="661" spans="30:31" ht="12" x14ac:dyDescent="0.3">
      <c r="AD661" s="33"/>
      <c r="AE661" s="33"/>
    </row>
    <row r="662" spans="30:31" ht="12" x14ac:dyDescent="0.3">
      <c r="AD662" s="33"/>
      <c r="AE662" s="33"/>
    </row>
    <row r="663" spans="30:31" ht="12" x14ac:dyDescent="0.3">
      <c r="AD663" s="33"/>
      <c r="AE663" s="33"/>
    </row>
    <row r="664" spans="30:31" ht="12" x14ac:dyDescent="0.3">
      <c r="AD664" s="33"/>
      <c r="AE664" s="33"/>
    </row>
    <row r="665" spans="30:31" ht="12" x14ac:dyDescent="0.3">
      <c r="AD665" s="33"/>
      <c r="AE665" s="33"/>
    </row>
    <row r="666" spans="30:31" ht="12" x14ac:dyDescent="0.3">
      <c r="AD666" s="33"/>
      <c r="AE666" s="33"/>
    </row>
    <row r="667" spans="30:31" ht="12" x14ac:dyDescent="0.3">
      <c r="AD667" s="33"/>
      <c r="AE667" s="33"/>
    </row>
    <row r="668" spans="30:31" ht="12" x14ac:dyDescent="0.3">
      <c r="AD668" s="33"/>
      <c r="AE668" s="33"/>
    </row>
    <row r="669" spans="30:31" ht="12" x14ac:dyDescent="0.3">
      <c r="AD669" s="33"/>
      <c r="AE669" s="33"/>
    </row>
    <row r="670" spans="30:31" ht="12" x14ac:dyDescent="0.3">
      <c r="AD670" s="33"/>
      <c r="AE670" s="33"/>
    </row>
    <row r="671" spans="30:31" ht="12" x14ac:dyDescent="0.3">
      <c r="AD671" s="33"/>
      <c r="AE671" s="33"/>
    </row>
    <row r="672" spans="30:31" ht="12" x14ac:dyDescent="0.3">
      <c r="AD672" s="33"/>
      <c r="AE672" s="33"/>
    </row>
    <row r="673" spans="30:31" ht="12" x14ac:dyDescent="0.3">
      <c r="AD673" s="33"/>
      <c r="AE673" s="33"/>
    </row>
    <row r="674" spans="30:31" ht="12" x14ac:dyDescent="0.3">
      <c r="AD674" s="33"/>
      <c r="AE674" s="33"/>
    </row>
    <row r="675" spans="30:31" ht="12" x14ac:dyDescent="0.3">
      <c r="AD675" s="33"/>
      <c r="AE675" s="33"/>
    </row>
    <row r="676" spans="30:31" ht="12" x14ac:dyDescent="0.3">
      <c r="AD676" s="33"/>
      <c r="AE676" s="33"/>
    </row>
    <row r="677" spans="30:31" ht="12" x14ac:dyDescent="0.3">
      <c r="AD677" s="33"/>
      <c r="AE677" s="33"/>
    </row>
    <row r="678" spans="30:31" ht="12" x14ac:dyDescent="0.3">
      <c r="AD678" s="33"/>
      <c r="AE678" s="33"/>
    </row>
    <row r="679" spans="30:31" ht="12" x14ac:dyDescent="0.3">
      <c r="AD679" s="33"/>
      <c r="AE679" s="33"/>
    </row>
    <row r="680" spans="30:31" ht="12" x14ac:dyDescent="0.3">
      <c r="AD680" s="33"/>
      <c r="AE680" s="33"/>
    </row>
    <row r="681" spans="30:31" ht="12" x14ac:dyDescent="0.3">
      <c r="AD681" s="33"/>
      <c r="AE681" s="33"/>
    </row>
    <row r="682" spans="30:31" ht="12" x14ac:dyDescent="0.3">
      <c r="AD682" s="33"/>
      <c r="AE682" s="33"/>
    </row>
    <row r="683" spans="30:31" ht="12" x14ac:dyDescent="0.3">
      <c r="AD683" s="33"/>
      <c r="AE683" s="33"/>
    </row>
    <row r="684" spans="30:31" ht="12" x14ac:dyDescent="0.3">
      <c r="AD684" s="33"/>
      <c r="AE684" s="33"/>
    </row>
    <row r="685" spans="30:31" ht="12" x14ac:dyDescent="0.3">
      <c r="AD685" s="33"/>
      <c r="AE685" s="33"/>
    </row>
    <row r="686" spans="30:31" ht="12" x14ac:dyDescent="0.3">
      <c r="AD686" s="33"/>
      <c r="AE686" s="33"/>
    </row>
    <row r="687" spans="30:31" ht="12" x14ac:dyDescent="0.3">
      <c r="AD687" s="33"/>
      <c r="AE687" s="33"/>
    </row>
    <row r="688" spans="30:31" ht="12" x14ac:dyDescent="0.3">
      <c r="AD688" s="33"/>
      <c r="AE688" s="33"/>
    </row>
    <row r="689" spans="30:31" ht="12" x14ac:dyDescent="0.3">
      <c r="AD689" s="33"/>
      <c r="AE689" s="33"/>
    </row>
    <row r="690" spans="30:31" ht="12" x14ac:dyDescent="0.3">
      <c r="AD690" s="33"/>
      <c r="AE690" s="33"/>
    </row>
    <row r="691" spans="30:31" ht="12" x14ac:dyDescent="0.3">
      <c r="AD691" s="33"/>
      <c r="AE691" s="33"/>
    </row>
    <row r="692" spans="30:31" ht="12" x14ac:dyDescent="0.3">
      <c r="AD692" s="33"/>
      <c r="AE692" s="33"/>
    </row>
    <row r="693" spans="30:31" ht="12" x14ac:dyDescent="0.3">
      <c r="AD693" s="33"/>
      <c r="AE693" s="33"/>
    </row>
    <row r="694" spans="30:31" ht="12" x14ac:dyDescent="0.3">
      <c r="AD694" s="33"/>
      <c r="AE694" s="33"/>
    </row>
    <row r="695" spans="30:31" ht="12" x14ac:dyDescent="0.3">
      <c r="AD695" s="33"/>
      <c r="AE695" s="33"/>
    </row>
    <row r="696" spans="30:31" ht="12" x14ac:dyDescent="0.3">
      <c r="AD696" s="33"/>
      <c r="AE696" s="33"/>
    </row>
    <row r="697" spans="30:31" ht="12" x14ac:dyDescent="0.3">
      <c r="AD697" s="33"/>
      <c r="AE697" s="33"/>
    </row>
    <row r="698" spans="30:31" ht="12" x14ac:dyDescent="0.3">
      <c r="AD698" s="33"/>
      <c r="AE698" s="33"/>
    </row>
    <row r="699" spans="30:31" ht="12" x14ac:dyDescent="0.3">
      <c r="AD699" s="33"/>
      <c r="AE699" s="33"/>
    </row>
    <row r="700" spans="30:31" ht="12" x14ac:dyDescent="0.3">
      <c r="AD700" s="33"/>
      <c r="AE700" s="33"/>
    </row>
    <row r="701" spans="30:31" ht="12" x14ac:dyDescent="0.3">
      <c r="AD701" s="33"/>
      <c r="AE701" s="33"/>
    </row>
    <row r="702" spans="30:31" ht="12" x14ac:dyDescent="0.3">
      <c r="AD702" s="33"/>
      <c r="AE702" s="33"/>
    </row>
    <row r="703" spans="30:31" ht="12" x14ac:dyDescent="0.3">
      <c r="AD703" s="33"/>
      <c r="AE703" s="33"/>
    </row>
    <row r="704" spans="30:31" ht="12" x14ac:dyDescent="0.3">
      <c r="AD704" s="33"/>
      <c r="AE704" s="33"/>
    </row>
    <row r="705" spans="30:31" ht="12" x14ac:dyDescent="0.3">
      <c r="AD705" s="33"/>
      <c r="AE705" s="33"/>
    </row>
    <row r="706" spans="30:31" ht="12" x14ac:dyDescent="0.3">
      <c r="AD706" s="33"/>
      <c r="AE706" s="33"/>
    </row>
    <row r="707" spans="30:31" ht="12" x14ac:dyDescent="0.3">
      <c r="AD707" s="33"/>
      <c r="AE707" s="33"/>
    </row>
    <row r="708" spans="30:31" ht="12" x14ac:dyDescent="0.3">
      <c r="AD708" s="33"/>
      <c r="AE708" s="33"/>
    </row>
    <row r="709" spans="30:31" ht="12" x14ac:dyDescent="0.3">
      <c r="AD709" s="33"/>
      <c r="AE709" s="33"/>
    </row>
    <row r="710" spans="30:31" ht="12" x14ac:dyDescent="0.3">
      <c r="AD710" s="33"/>
      <c r="AE710" s="33"/>
    </row>
    <row r="711" spans="30:31" ht="12" x14ac:dyDescent="0.3">
      <c r="AD711" s="33"/>
      <c r="AE711" s="33"/>
    </row>
    <row r="712" spans="30:31" ht="12" x14ac:dyDescent="0.3">
      <c r="AD712" s="33"/>
      <c r="AE712" s="33"/>
    </row>
    <row r="713" spans="30:31" ht="12" x14ac:dyDescent="0.3">
      <c r="AD713" s="33"/>
      <c r="AE713" s="33"/>
    </row>
    <row r="714" spans="30:31" ht="12" x14ac:dyDescent="0.3">
      <c r="AD714" s="33"/>
      <c r="AE714" s="33"/>
    </row>
    <row r="715" spans="30:31" ht="12" x14ac:dyDescent="0.3">
      <c r="AD715" s="33"/>
      <c r="AE715" s="33"/>
    </row>
    <row r="716" spans="30:31" ht="12" x14ac:dyDescent="0.3">
      <c r="AD716" s="33"/>
      <c r="AE716" s="33"/>
    </row>
    <row r="717" spans="30:31" ht="12" x14ac:dyDescent="0.3">
      <c r="AD717" s="33"/>
      <c r="AE717" s="33"/>
    </row>
    <row r="718" spans="30:31" ht="12" x14ac:dyDescent="0.3">
      <c r="AD718" s="33"/>
      <c r="AE718" s="33"/>
    </row>
    <row r="719" spans="30:31" ht="12" x14ac:dyDescent="0.3">
      <c r="AD719" s="33"/>
      <c r="AE719" s="33"/>
    </row>
    <row r="720" spans="30:31" ht="12" x14ac:dyDescent="0.3">
      <c r="AD720" s="33"/>
      <c r="AE720" s="33"/>
    </row>
    <row r="721" spans="30:31" ht="12" x14ac:dyDescent="0.3">
      <c r="AD721" s="33"/>
      <c r="AE721" s="33"/>
    </row>
    <row r="722" spans="30:31" ht="12" x14ac:dyDescent="0.3">
      <c r="AD722" s="33"/>
      <c r="AE722" s="33"/>
    </row>
    <row r="723" spans="30:31" ht="12" x14ac:dyDescent="0.3">
      <c r="AD723" s="33"/>
      <c r="AE723" s="33"/>
    </row>
    <row r="724" spans="30:31" ht="12" x14ac:dyDescent="0.3">
      <c r="AD724" s="33"/>
      <c r="AE724" s="33"/>
    </row>
    <row r="725" spans="30:31" ht="12" x14ac:dyDescent="0.3">
      <c r="AD725" s="33"/>
      <c r="AE725" s="33"/>
    </row>
    <row r="726" spans="30:31" ht="12" x14ac:dyDescent="0.3">
      <c r="AD726" s="33"/>
      <c r="AE726" s="33"/>
    </row>
    <row r="727" spans="30:31" ht="12" x14ac:dyDescent="0.3">
      <c r="AD727" s="33"/>
      <c r="AE727" s="33"/>
    </row>
    <row r="728" spans="30:31" ht="12" x14ac:dyDescent="0.3">
      <c r="AD728" s="33"/>
      <c r="AE728" s="33"/>
    </row>
    <row r="729" spans="30:31" ht="12" x14ac:dyDescent="0.3">
      <c r="AD729" s="33"/>
      <c r="AE729" s="33"/>
    </row>
    <row r="730" spans="30:31" ht="12" x14ac:dyDescent="0.3">
      <c r="AD730" s="33"/>
      <c r="AE730" s="33"/>
    </row>
    <row r="731" spans="30:31" ht="12" x14ac:dyDescent="0.3">
      <c r="AD731" s="33"/>
      <c r="AE731" s="33"/>
    </row>
    <row r="732" spans="30:31" ht="12" x14ac:dyDescent="0.3">
      <c r="AD732" s="33"/>
      <c r="AE732" s="33"/>
    </row>
    <row r="733" spans="30:31" ht="12" x14ac:dyDescent="0.3">
      <c r="AD733" s="33"/>
      <c r="AE733" s="33"/>
    </row>
    <row r="734" spans="30:31" ht="12" x14ac:dyDescent="0.3">
      <c r="AD734" s="33"/>
      <c r="AE734" s="33"/>
    </row>
    <row r="735" spans="30:31" ht="12" x14ac:dyDescent="0.3">
      <c r="AD735" s="33"/>
      <c r="AE735" s="33"/>
    </row>
    <row r="736" spans="30:31" ht="12" x14ac:dyDescent="0.3">
      <c r="AD736" s="33"/>
      <c r="AE736" s="33"/>
    </row>
    <row r="737" spans="30:31" ht="12" x14ac:dyDescent="0.3">
      <c r="AD737" s="33"/>
      <c r="AE737" s="33"/>
    </row>
    <row r="738" spans="30:31" ht="12" x14ac:dyDescent="0.3">
      <c r="AD738" s="33"/>
      <c r="AE738" s="33"/>
    </row>
    <row r="739" spans="30:31" ht="12" x14ac:dyDescent="0.3">
      <c r="AD739" s="33"/>
      <c r="AE739" s="33"/>
    </row>
    <row r="740" spans="30:31" ht="12" x14ac:dyDescent="0.3">
      <c r="AD740" s="33"/>
      <c r="AE740" s="33"/>
    </row>
    <row r="741" spans="30:31" ht="12" x14ac:dyDescent="0.3">
      <c r="AD741" s="33"/>
      <c r="AE741" s="33"/>
    </row>
    <row r="742" spans="30:31" ht="12" x14ac:dyDescent="0.3">
      <c r="AD742" s="33"/>
      <c r="AE742" s="33"/>
    </row>
    <row r="743" spans="30:31" ht="12" x14ac:dyDescent="0.3">
      <c r="AD743" s="33"/>
      <c r="AE743" s="33"/>
    </row>
    <row r="744" spans="30:31" ht="12" x14ac:dyDescent="0.3">
      <c r="AD744" s="33"/>
      <c r="AE744" s="33"/>
    </row>
    <row r="745" spans="30:31" ht="12" x14ac:dyDescent="0.3">
      <c r="AD745" s="33"/>
      <c r="AE745" s="33"/>
    </row>
    <row r="746" spans="30:31" ht="12" x14ac:dyDescent="0.3">
      <c r="AD746" s="33"/>
      <c r="AE746" s="33"/>
    </row>
    <row r="747" spans="30:31" ht="12" x14ac:dyDescent="0.3">
      <c r="AD747" s="33"/>
      <c r="AE747" s="33"/>
    </row>
    <row r="748" spans="30:31" ht="12" x14ac:dyDescent="0.3">
      <c r="AD748" s="33"/>
      <c r="AE748" s="33"/>
    </row>
    <row r="749" spans="30:31" ht="12" x14ac:dyDescent="0.3">
      <c r="AD749" s="33"/>
      <c r="AE749" s="33"/>
    </row>
    <row r="750" spans="30:31" ht="12" x14ac:dyDescent="0.3">
      <c r="AD750" s="33"/>
      <c r="AE750" s="33"/>
    </row>
    <row r="751" spans="30:31" ht="12" x14ac:dyDescent="0.3">
      <c r="AD751" s="33"/>
      <c r="AE751" s="33"/>
    </row>
    <row r="752" spans="30:31" ht="12" x14ac:dyDescent="0.3">
      <c r="AD752" s="33"/>
      <c r="AE752" s="33"/>
    </row>
    <row r="753" spans="30:31" ht="12" x14ac:dyDescent="0.3">
      <c r="AD753" s="33"/>
      <c r="AE753" s="33"/>
    </row>
    <row r="754" spans="30:31" ht="12" x14ac:dyDescent="0.3">
      <c r="AD754" s="33"/>
      <c r="AE754" s="33"/>
    </row>
    <row r="755" spans="30:31" ht="12" x14ac:dyDescent="0.3">
      <c r="AD755" s="33"/>
      <c r="AE755" s="33"/>
    </row>
    <row r="756" spans="30:31" ht="12" x14ac:dyDescent="0.3">
      <c r="AD756" s="33"/>
      <c r="AE756" s="33"/>
    </row>
    <row r="757" spans="30:31" ht="12" x14ac:dyDescent="0.3">
      <c r="AD757" s="33"/>
      <c r="AE757" s="33"/>
    </row>
    <row r="758" spans="30:31" ht="12" x14ac:dyDescent="0.3">
      <c r="AD758" s="33"/>
      <c r="AE758" s="33"/>
    </row>
    <row r="759" spans="30:31" ht="12" x14ac:dyDescent="0.3">
      <c r="AD759" s="33"/>
      <c r="AE759" s="33"/>
    </row>
    <row r="760" spans="30:31" ht="12" x14ac:dyDescent="0.3">
      <c r="AD760" s="33"/>
      <c r="AE760" s="33"/>
    </row>
    <row r="761" spans="30:31" ht="12" x14ac:dyDescent="0.3">
      <c r="AD761" s="33"/>
      <c r="AE761" s="33"/>
    </row>
    <row r="762" spans="30:31" ht="12" x14ac:dyDescent="0.3">
      <c r="AD762" s="33"/>
      <c r="AE762" s="33"/>
    </row>
    <row r="763" spans="30:31" ht="12" x14ac:dyDescent="0.3">
      <c r="AD763" s="33"/>
      <c r="AE763" s="33"/>
    </row>
    <row r="764" spans="30:31" ht="12" x14ac:dyDescent="0.3">
      <c r="AD764" s="33"/>
      <c r="AE764" s="33"/>
    </row>
    <row r="765" spans="30:31" ht="12" x14ac:dyDescent="0.3">
      <c r="AD765" s="33"/>
      <c r="AE765" s="33"/>
    </row>
    <row r="766" spans="30:31" ht="12" x14ac:dyDescent="0.3">
      <c r="AD766" s="33"/>
      <c r="AE766" s="33"/>
    </row>
    <row r="767" spans="30:31" ht="12" x14ac:dyDescent="0.3">
      <c r="AD767" s="33"/>
      <c r="AE767" s="33"/>
    </row>
    <row r="768" spans="30:31" ht="12" x14ac:dyDescent="0.3">
      <c r="AD768" s="33"/>
      <c r="AE768" s="33"/>
    </row>
    <row r="769" spans="30:31" ht="12" x14ac:dyDescent="0.3">
      <c r="AD769" s="33"/>
      <c r="AE769" s="33"/>
    </row>
    <row r="770" spans="30:31" ht="12" x14ac:dyDescent="0.3">
      <c r="AD770" s="33"/>
      <c r="AE770" s="33"/>
    </row>
    <row r="771" spans="30:31" ht="12" x14ac:dyDescent="0.3">
      <c r="AD771" s="33"/>
      <c r="AE771" s="33"/>
    </row>
    <row r="772" spans="30:31" ht="12" x14ac:dyDescent="0.3">
      <c r="AD772" s="33"/>
      <c r="AE772" s="33"/>
    </row>
    <row r="773" spans="30:31" ht="12" x14ac:dyDescent="0.3">
      <c r="AD773" s="33"/>
      <c r="AE773" s="33"/>
    </row>
    <row r="774" spans="30:31" ht="12" x14ac:dyDescent="0.3">
      <c r="AD774" s="33"/>
      <c r="AE774" s="33"/>
    </row>
    <row r="775" spans="30:31" ht="12" x14ac:dyDescent="0.3">
      <c r="AD775" s="33"/>
      <c r="AE775" s="33"/>
    </row>
    <row r="776" spans="30:31" ht="12" x14ac:dyDescent="0.3">
      <c r="AD776" s="33"/>
      <c r="AE776" s="33"/>
    </row>
    <row r="777" spans="30:31" ht="12" x14ac:dyDescent="0.3">
      <c r="AD777" s="33"/>
      <c r="AE777" s="33"/>
    </row>
    <row r="778" spans="30:31" ht="12" x14ac:dyDescent="0.3">
      <c r="AD778" s="33"/>
      <c r="AE778" s="33"/>
    </row>
    <row r="779" spans="30:31" ht="12" x14ac:dyDescent="0.3">
      <c r="AD779" s="33"/>
      <c r="AE779" s="33"/>
    </row>
    <row r="780" spans="30:31" ht="12" x14ac:dyDescent="0.3">
      <c r="AD780" s="33"/>
      <c r="AE780" s="33"/>
    </row>
    <row r="781" spans="30:31" ht="12" x14ac:dyDescent="0.3">
      <c r="AD781" s="33"/>
      <c r="AE781" s="33"/>
    </row>
    <row r="782" spans="30:31" ht="12" x14ac:dyDescent="0.3">
      <c r="AD782" s="33"/>
      <c r="AE782" s="33"/>
    </row>
    <row r="783" spans="30:31" ht="12" x14ac:dyDescent="0.3">
      <c r="AD783" s="33"/>
      <c r="AE783" s="33"/>
    </row>
    <row r="784" spans="30:31" ht="12" x14ac:dyDescent="0.3">
      <c r="AD784" s="33"/>
      <c r="AE784" s="33"/>
    </row>
    <row r="785" spans="30:31" ht="12" x14ac:dyDescent="0.3">
      <c r="AD785" s="33"/>
      <c r="AE785" s="33"/>
    </row>
    <row r="786" spans="30:31" ht="12" x14ac:dyDescent="0.3">
      <c r="AD786" s="33"/>
      <c r="AE786" s="33"/>
    </row>
    <row r="787" spans="30:31" ht="12" x14ac:dyDescent="0.3">
      <c r="AD787" s="33"/>
      <c r="AE787" s="33"/>
    </row>
    <row r="788" spans="30:31" ht="12" x14ac:dyDescent="0.3">
      <c r="AD788" s="33"/>
      <c r="AE788" s="33"/>
    </row>
    <row r="789" spans="30:31" ht="12" x14ac:dyDescent="0.3">
      <c r="AD789" s="33"/>
      <c r="AE789" s="33"/>
    </row>
    <row r="790" spans="30:31" ht="12" x14ac:dyDescent="0.3">
      <c r="AD790" s="33"/>
      <c r="AE790" s="33"/>
    </row>
    <row r="791" spans="30:31" ht="12" x14ac:dyDescent="0.3">
      <c r="AD791" s="33"/>
      <c r="AE791" s="33"/>
    </row>
    <row r="792" spans="30:31" ht="12" x14ac:dyDescent="0.3">
      <c r="AD792" s="33"/>
      <c r="AE792" s="33"/>
    </row>
    <row r="793" spans="30:31" ht="12" x14ac:dyDescent="0.3">
      <c r="AD793" s="33"/>
      <c r="AE793" s="33"/>
    </row>
    <row r="794" spans="30:31" ht="12" x14ac:dyDescent="0.3">
      <c r="AD794" s="33"/>
      <c r="AE794" s="33"/>
    </row>
    <row r="795" spans="30:31" ht="12" x14ac:dyDescent="0.3">
      <c r="AD795" s="33"/>
      <c r="AE795" s="33"/>
    </row>
    <row r="796" spans="30:31" ht="12" x14ac:dyDescent="0.3">
      <c r="AD796" s="33"/>
      <c r="AE796" s="33"/>
    </row>
    <row r="797" spans="30:31" ht="12" x14ac:dyDescent="0.3">
      <c r="AD797" s="33"/>
      <c r="AE797" s="33"/>
    </row>
    <row r="798" spans="30:31" ht="12" x14ac:dyDescent="0.3">
      <c r="AD798" s="33"/>
      <c r="AE798" s="33"/>
    </row>
    <row r="799" spans="30:31" ht="12" x14ac:dyDescent="0.3">
      <c r="AD799" s="33"/>
      <c r="AE799" s="33"/>
    </row>
    <row r="800" spans="30:31" ht="12" x14ac:dyDescent="0.3">
      <c r="AD800" s="33"/>
      <c r="AE800" s="33"/>
    </row>
    <row r="801" spans="30:31" ht="12" x14ac:dyDescent="0.3">
      <c r="AD801" s="33"/>
      <c r="AE801" s="33"/>
    </row>
    <row r="802" spans="30:31" ht="12" x14ac:dyDescent="0.3">
      <c r="AD802" s="33"/>
      <c r="AE802" s="33"/>
    </row>
    <row r="803" spans="30:31" ht="12" x14ac:dyDescent="0.3">
      <c r="AD803" s="33"/>
      <c r="AE803" s="33"/>
    </row>
    <row r="804" spans="30:31" ht="12" x14ac:dyDescent="0.3">
      <c r="AD804" s="33"/>
      <c r="AE804" s="33"/>
    </row>
    <row r="805" spans="30:31" ht="12" x14ac:dyDescent="0.3">
      <c r="AD805" s="33"/>
      <c r="AE805" s="33"/>
    </row>
    <row r="806" spans="30:31" ht="12" x14ac:dyDescent="0.3">
      <c r="AD806" s="33"/>
      <c r="AE806" s="33"/>
    </row>
    <row r="807" spans="30:31" ht="12" x14ac:dyDescent="0.3">
      <c r="AD807" s="33"/>
      <c r="AE807" s="33"/>
    </row>
    <row r="808" spans="30:31" ht="12" x14ac:dyDescent="0.3">
      <c r="AD808" s="33"/>
      <c r="AE808" s="33"/>
    </row>
    <row r="809" spans="30:31" ht="12" x14ac:dyDescent="0.3">
      <c r="AD809" s="33"/>
      <c r="AE809" s="33"/>
    </row>
    <row r="810" spans="30:31" ht="12" x14ac:dyDescent="0.3">
      <c r="AD810" s="33"/>
      <c r="AE810" s="33"/>
    </row>
    <row r="811" spans="30:31" ht="12" x14ac:dyDescent="0.3">
      <c r="AD811" s="33"/>
      <c r="AE811" s="33"/>
    </row>
    <row r="812" spans="30:31" ht="12" x14ac:dyDescent="0.3">
      <c r="AD812" s="33"/>
      <c r="AE812" s="33"/>
    </row>
    <row r="813" spans="30:31" ht="12" x14ac:dyDescent="0.3">
      <c r="AD813" s="33"/>
      <c r="AE813" s="33"/>
    </row>
    <row r="814" spans="30:31" ht="12" x14ac:dyDescent="0.3">
      <c r="AD814" s="33"/>
      <c r="AE814" s="33"/>
    </row>
    <row r="815" spans="30:31" ht="12" x14ac:dyDescent="0.3">
      <c r="AD815" s="33"/>
      <c r="AE815" s="33"/>
    </row>
    <row r="816" spans="30:31" ht="12" x14ac:dyDescent="0.3">
      <c r="AD816" s="33"/>
      <c r="AE816" s="33"/>
    </row>
    <row r="817" spans="30:31" ht="12" x14ac:dyDescent="0.3">
      <c r="AD817" s="33"/>
      <c r="AE817" s="33"/>
    </row>
    <row r="818" spans="30:31" ht="12" x14ac:dyDescent="0.3">
      <c r="AD818" s="33"/>
      <c r="AE818" s="33"/>
    </row>
    <row r="819" spans="30:31" ht="12" x14ac:dyDescent="0.3">
      <c r="AD819" s="33"/>
      <c r="AE819" s="33"/>
    </row>
    <row r="820" spans="30:31" ht="12" x14ac:dyDescent="0.3">
      <c r="AD820" s="33"/>
      <c r="AE820" s="33"/>
    </row>
    <row r="821" spans="30:31" ht="12" x14ac:dyDescent="0.3">
      <c r="AD821" s="33"/>
      <c r="AE821" s="33"/>
    </row>
    <row r="822" spans="30:31" ht="12" x14ac:dyDescent="0.3">
      <c r="AD822" s="33"/>
      <c r="AE822" s="33"/>
    </row>
    <row r="823" spans="30:31" ht="12" x14ac:dyDescent="0.3">
      <c r="AD823" s="33"/>
      <c r="AE823" s="33"/>
    </row>
    <row r="824" spans="30:31" ht="12" x14ac:dyDescent="0.3">
      <c r="AD824" s="33"/>
      <c r="AE824" s="33"/>
    </row>
    <row r="825" spans="30:31" ht="12" x14ac:dyDescent="0.3">
      <c r="AD825" s="33"/>
      <c r="AE825" s="33"/>
    </row>
    <row r="826" spans="30:31" ht="12" x14ac:dyDescent="0.3">
      <c r="AD826" s="33"/>
      <c r="AE826" s="33"/>
    </row>
    <row r="827" spans="30:31" ht="12" x14ac:dyDescent="0.3">
      <c r="AD827" s="33"/>
      <c r="AE827" s="33"/>
    </row>
    <row r="828" spans="30:31" ht="12" x14ac:dyDescent="0.3">
      <c r="AD828" s="33"/>
      <c r="AE828" s="33"/>
    </row>
    <row r="829" spans="30:31" ht="12" x14ac:dyDescent="0.3">
      <c r="AD829" s="33"/>
      <c r="AE829" s="33"/>
    </row>
    <row r="830" spans="30:31" ht="12" x14ac:dyDescent="0.3">
      <c r="AD830" s="33"/>
      <c r="AE830" s="33"/>
    </row>
    <row r="831" spans="30:31" ht="12" x14ac:dyDescent="0.3">
      <c r="AD831" s="33"/>
      <c r="AE831" s="33"/>
    </row>
    <row r="832" spans="30:31" ht="12" x14ac:dyDescent="0.3">
      <c r="AD832" s="33"/>
      <c r="AE832" s="33"/>
    </row>
    <row r="833" spans="30:31" ht="12" x14ac:dyDescent="0.3">
      <c r="AD833" s="33"/>
      <c r="AE833" s="33"/>
    </row>
    <row r="834" spans="30:31" ht="12" x14ac:dyDescent="0.3">
      <c r="AD834" s="33"/>
      <c r="AE834" s="33"/>
    </row>
    <row r="835" spans="30:31" ht="12" x14ac:dyDescent="0.3">
      <c r="AD835" s="33"/>
      <c r="AE835" s="33"/>
    </row>
    <row r="836" spans="30:31" ht="12" x14ac:dyDescent="0.3">
      <c r="AD836" s="33"/>
      <c r="AE836" s="33"/>
    </row>
    <row r="837" spans="30:31" ht="12" x14ac:dyDescent="0.3">
      <c r="AD837" s="33"/>
      <c r="AE837" s="33"/>
    </row>
    <row r="838" spans="30:31" ht="12" x14ac:dyDescent="0.3">
      <c r="AD838" s="33"/>
      <c r="AE838" s="33"/>
    </row>
    <row r="839" spans="30:31" ht="12" x14ac:dyDescent="0.3">
      <c r="AD839" s="33"/>
      <c r="AE839" s="33"/>
    </row>
    <row r="840" spans="30:31" ht="12" x14ac:dyDescent="0.3">
      <c r="AD840" s="33"/>
      <c r="AE840" s="33"/>
    </row>
    <row r="841" spans="30:31" ht="12" x14ac:dyDescent="0.3">
      <c r="AD841" s="33"/>
      <c r="AE841" s="33"/>
    </row>
    <row r="842" spans="30:31" ht="12" x14ac:dyDescent="0.3">
      <c r="AD842" s="33"/>
      <c r="AE842" s="33"/>
    </row>
    <row r="843" spans="30:31" ht="12" x14ac:dyDescent="0.3">
      <c r="AD843" s="33"/>
      <c r="AE843" s="33"/>
    </row>
    <row r="844" spans="30:31" ht="12" x14ac:dyDescent="0.3">
      <c r="AD844" s="33"/>
      <c r="AE844" s="33"/>
    </row>
    <row r="845" spans="30:31" ht="12" x14ac:dyDescent="0.3">
      <c r="AD845" s="33"/>
      <c r="AE845" s="33"/>
    </row>
    <row r="846" spans="30:31" ht="12" x14ac:dyDescent="0.3">
      <c r="AD846" s="33"/>
      <c r="AE846" s="33"/>
    </row>
    <row r="847" spans="30:31" ht="12" x14ac:dyDescent="0.3">
      <c r="AD847" s="33"/>
      <c r="AE847" s="33"/>
    </row>
    <row r="848" spans="30:31" ht="12" x14ac:dyDescent="0.3">
      <c r="AD848" s="33"/>
      <c r="AE848" s="33"/>
    </row>
    <row r="849" spans="30:31" ht="12" x14ac:dyDescent="0.3">
      <c r="AD849" s="33"/>
      <c r="AE849" s="33"/>
    </row>
    <row r="850" spans="30:31" ht="12" x14ac:dyDescent="0.3">
      <c r="AD850" s="33"/>
      <c r="AE850" s="33"/>
    </row>
    <row r="851" spans="30:31" ht="12" x14ac:dyDescent="0.3">
      <c r="AD851" s="33"/>
      <c r="AE851" s="33"/>
    </row>
    <row r="852" spans="30:31" ht="12" x14ac:dyDescent="0.3">
      <c r="AD852" s="33"/>
      <c r="AE852" s="33"/>
    </row>
    <row r="853" spans="30:31" ht="12" x14ac:dyDescent="0.3">
      <c r="AD853" s="33"/>
      <c r="AE853" s="33"/>
    </row>
    <row r="854" spans="30:31" ht="12" x14ac:dyDescent="0.3">
      <c r="AD854" s="33"/>
      <c r="AE854" s="33"/>
    </row>
    <row r="855" spans="30:31" ht="12" x14ac:dyDescent="0.3">
      <c r="AD855" s="33"/>
      <c r="AE855" s="33"/>
    </row>
    <row r="856" spans="30:31" ht="12" x14ac:dyDescent="0.3">
      <c r="AD856" s="33"/>
      <c r="AE856" s="33"/>
    </row>
    <row r="857" spans="30:31" ht="12" x14ac:dyDescent="0.3">
      <c r="AD857" s="33"/>
      <c r="AE857" s="33"/>
    </row>
    <row r="858" spans="30:31" ht="12" x14ac:dyDescent="0.3">
      <c r="AD858" s="33"/>
      <c r="AE858" s="33"/>
    </row>
    <row r="859" spans="30:31" ht="12" x14ac:dyDescent="0.3">
      <c r="AD859" s="33"/>
      <c r="AE859" s="33"/>
    </row>
    <row r="860" spans="30:31" ht="12" x14ac:dyDescent="0.3">
      <c r="AD860" s="33"/>
      <c r="AE860" s="33"/>
    </row>
    <row r="861" spans="30:31" ht="12" x14ac:dyDescent="0.3">
      <c r="AD861" s="33"/>
      <c r="AE861" s="33"/>
    </row>
    <row r="862" spans="30:31" ht="12" x14ac:dyDescent="0.3">
      <c r="AD862" s="33"/>
      <c r="AE862" s="33"/>
    </row>
    <row r="863" spans="30:31" ht="12" x14ac:dyDescent="0.3">
      <c r="AD863" s="33"/>
      <c r="AE863" s="33"/>
    </row>
    <row r="864" spans="30:31" ht="12" x14ac:dyDescent="0.3">
      <c r="AD864" s="33"/>
      <c r="AE864" s="33"/>
    </row>
    <row r="865" spans="30:31" ht="12" x14ac:dyDescent="0.3">
      <c r="AD865" s="33"/>
      <c r="AE865" s="33"/>
    </row>
    <row r="866" spans="30:31" ht="12" x14ac:dyDescent="0.3">
      <c r="AD866" s="33"/>
      <c r="AE866" s="33"/>
    </row>
    <row r="867" spans="30:31" ht="12" x14ac:dyDescent="0.3">
      <c r="AD867" s="33"/>
      <c r="AE867" s="33"/>
    </row>
    <row r="868" spans="30:31" ht="12" x14ac:dyDescent="0.3">
      <c r="AD868" s="33"/>
      <c r="AE868" s="33"/>
    </row>
    <row r="869" spans="30:31" ht="12" x14ac:dyDescent="0.3">
      <c r="AD869" s="33"/>
      <c r="AE869" s="33"/>
    </row>
    <row r="870" spans="30:31" ht="12" x14ac:dyDescent="0.3">
      <c r="AD870" s="33"/>
      <c r="AE870" s="33"/>
    </row>
    <row r="871" spans="30:31" ht="12" x14ac:dyDescent="0.3">
      <c r="AD871" s="33"/>
      <c r="AE871" s="33"/>
    </row>
    <row r="872" spans="30:31" ht="12" x14ac:dyDescent="0.3">
      <c r="AD872" s="33"/>
      <c r="AE872" s="33"/>
    </row>
    <row r="873" spans="30:31" ht="12" x14ac:dyDescent="0.3">
      <c r="AD873" s="33"/>
      <c r="AE873" s="33"/>
    </row>
    <row r="874" spans="30:31" ht="12" x14ac:dyDescent="0.3">
      <c r="AD874" s="33"/>
      <c r="AE874" s="33"/>
    </row>
    <row r="875" spans="30:31" ht="12" x14ac:dyDescent="0.3">
      <c r="AD875" s="33"/>
      <c r="AE875" s="33"/>
    </row>
    <row r="876" spans="30:31" ht="12" x14ac:dyDescent="0.3">
      <c r="AD876" s="33"/>
      <c r="AE876" s="33"/>
    </row>
    <row r="877" spans="30:31" ht="12" x14ac:dyDescent="0.3">
      <c r="AD877" s="33"/>
      <c r="AE877" s="33"/>
    </row>
    <row r="878" spans="30:31" ht="12" x14ac:dyDescent="0.3">
      <c r="AD878" s="33"/>
      <c r="AE878" s="33"/>
    </row>
    <row r="879" spans="30:31" ht="12" x14ac:dyDescent="0.3">
      <c r="AD879" s="33"/>
      <c r="AE879" s="33"/>
    </row>
    <row r="880" spans="30:31" ht="12" x14ac:dyDescent="0.3">
      <c r="AD880" s="33"/>
      <c r="AE880" s="33"/>
    </row>
    <row r="881" spans="30:31" ht="12" x14ac:dyDescent="0.3">
      <c r="AD881" s="33"/>
      <c r="AE881" s="33"/>
    </row>
    <row r="882" spans="30:31" ht="12" x14ac:dyDescent="0.3">
      <c r="AD882" s="33"/>
      <c r="AE882" s="33"/>
    </row>
    <row r="883" spans="30:31" ht="12" x14ac:dyDescent="0.3">
      <c r="AD883" s="33"/>
      <c r="AE883" s="33"/>
    </row>
    <row r="884" spans="30:31" ht="12" x14ac:dyDescent="0.3">
      <c r="AD884" s="33"/>
      <c r="AE884" s="33"/>
    </row>
    <row r="885" spans="30:31" ht="12" x14ac:dyDescent="0.3">
      <c r="AD885" s="33"/>
      <c r="AE885" s="33"/>
    </row>
    <row r="886" spans="30:31" ht="12" x14ac:dyDescent="0.3">
      <c r="AD886" s="33"/>
      <c r="AE886" s="33"/>
    </row>
    <row r="887" spans="30:31" ht="12" x14ac:dyDescent="0.3">
      <c r="AD887" s="33"/>
      <c r="AE887" s="33"/>
    </row>
    <row r="888" spans="30:31" ht="12" x14ac:dyDescent="0.3">
      <c r="AD888" s="33"/>
      <c r="AE888" s="33"/>
    </row>
    <row r="889" spans="30:31" ht="12" x14ac:dyDescent="0.3">
      <c r="AD889" s="33"/>
      <c r="AE889" s="33"/>
    </row>
    <row r="890" spans="30:31" ht="12" x14ac:dyDescent="0.3">
      <c r="AD890" s="33"/>
      <c r="AE890" s="33"/>
    </row>
    <row r="891" spans="30:31" ht="12" x14ac:dyDescent="0.3">
      <c r="AD891" s="33"/>
      <c r="AE891" s="33"/>
    </row>
    <row r="892" spans="30:31" ht="12" x14ac:dyDescent="0.3">
      <c r="AD892" s="33"/>
      <c r="AE892" s="33"/>
    </row>
    <row r="893" spans="30:31" ht="12" x14ac:dyDescent="0.3">
      <c r="AD893" s="33"/>
      <c r="AE893" s="33"/>
    </row>
    <row r="894" spans="30:31" ht="12" x14ac:dyDescent="0.3">
      <c r="AD894" s="33"/>
      <c r="AE894" s="33"/>
    </row>
    <row r="895" spans="30:31" ht="12" x14ac:dyDescent="0.3">
      <c r="AD895" s="33"/>
      <c r="AE895" s="33"/>
    </row>
    <row r="896" spans="30:31" ht="12" x14ac:dyDescent="0.3">
      <c r="AD896" s="33"/>
      <c r="AE896" s="33"/>
    </row>
    <row r="897" spans="30:31" ht="12" x14ac:dyDescent="0.3">
      <c r="AD897" s="33"/>
      <c r="AE897" s="33"/>
    </row>
    <row r="898" spans="30:31" ht="12" x14ac:dyDescent="0.3">
      <c r="AD898" s="33"/>
      <c r="AE898" s="33"/>
    </row>
    <row r="899" spans="30:31" ht="12" x14ac:dyDescent="0.3">
      <c r="AD899" s="33"/>
      <c r="AE899" s="33"/>
    </row>
    <row r="900" spans="30:31" ht="12" x14ac:dyDescent="0.3">
      <c r="AD900" s="33"/>
      <c r="AE900" s="33"/>
    </row>
    <row r="901" spans="30:31" ht="12" x14ac:dyDescent="0.3">
      <c r="AD901" s="33"/>
      <c r="AE901" s="33"/>
    </row>
    <row r="902" spans="30:31" ht="12" x14ac:dyDescent="0.3">
      <c r="AD902" s="33"/>
      <c r="AE902" s="33"/>
    </row>
    <row r="903" spans="30:31" ht="12" x14ac:dyDescent="0.3">
      <c r="AD903" s="33"/>
      <c r="AE903" s="33"/>
    </row>
    <row r="904" spans="30:31" ht="12" x14ac:dyDescent="0.3">
      <c r="AD904" s="33"/>
      <c r="AE904" s="33"/>
    </row>
    <row r="905" spans="30:31" ht="12" x14ac:dyDescent="0.3">
      <c r="AD905" s="33"/>
      <c r="AE905" s="33"/>
    </row>
    <row r="906" spans="30:31" ht="12" x14ac:dyDescent="0.3">
      <c r="AD906" s="33"/>
      <c r="AE906" s="33"/>
    </row>
    <row r="907" spans="30:31" ht="12" x14ac:dyDescent="0.3">
      <c r="AD907" s="33"/>
      <c r="AE907" s="33"/>
    </row>
    <row r="908" spans="30:31" ht="12" x14ac:dyDescent="0.3">
      <c r="AD908" s="33"/>
      <c r="AE908" s="33"/>
    </row>
    <row r="909" spans="30:31" ht="12" x14ac:dyDescent="0.3">
      <c r="AD909" s="33"/>
      <c r="AE909" s="33"/>
    </row>
    <row r="910" spans="30:31" ht="12" x14ac:dyDescent="0.3">
      <c r="AD910" s="33"/>
      <c r="AE910" s="33"/>
    </row>
    <row r="911" spans="30:31" ht="12" x14ac:dyDescent="0.3">
      <c r="AD911" s="33"/>
      <c r="AE911" s="33"/>
    </row>
    <row r="912" spans="30:31" ht="12" x14ac:dyDescent="0.3">
      <c r="AD912" s="33"/>
      <c r="AE912" s="33"/>
    </row>
    <row r="913" spans="30:31" ht="12" x14ac:dyDescent="0.3">
      <c r="AD913" s="33"/>
      <c r="AE913" s="33"/>
    </row>
    <row r="914" spans="30:31" ht="12" x14ac:dyDescent="0.3">
      <c r="AD914" s="33"/>
      <c r="AE914" s="33"/>
    </row>
    <row r="915" spans="30:31" ht="12" x14ac:dyDescent="0.3">
      <c r="AD915" s="33"/>
      <c r="AE915" s="33"/>
    </row>
    <row r="916" spans="30:31" ht="12" x14ac:dyDescent="0.3">
      <c r="AD916" s="33"/>
      <c r="AE916" s="33"/>
    </row>
    <row r="917" spans="30:31" ht="12" x14ac:dyDescent="0.3">
      <c r="AD917" s="33"/>
      <c r="AE917" s="33"/>
    </row>
    <row r="918" spans="30:31" ht="12" x14ac:dyDescent="0.3">
      <c r="AD918" s="33"/>
      <c r="AE918" s="33"/>
    </row>
    <row r="919" spans="30:31" ht="12" x14ac:dyDescent="0.3">
      <c r="AD919" s="33"/>
      <c r="AE919" s="33"/>
    </row>
    <row r="920" spans="30:31" ht="12" x14ac:dyDescent="0.3">
      <c r="AD920" s="33"/>
      <c r="AE920" s="33"/>
    </row>
    <row r="921" spans="30:31" ht="12" x14ac:dyDescent="0.3">
      <c r="AD921" s="33"/>
      <c r="AE921" s="33"/>
    </row>
    <row r="922" spans="30:31" ht="12" x14ac:dyDescent="0.3">
      <c r="AD922" s="33"/>
      <c r="AE922" s="33"/>
    </row>
    <row r="923" spans="30:31" ht="12" x14ac:dyDescent="0.3">
      <c r="AD923" s="33"/>
      <c r="AE923" s="33"/>
    </row>
    <row r="924" spans="30:31" ht="12" x14ac:dyDescent="0.3">
      <c r="AD924" s="33"/>
      <c r="AE924" s="33"/>
    </row>
    <row r="925" spans="30:31" ht="12" x14ac:dyDescent="0.3">
      <c r="AD925" s="33"/>
      <c r="AE925" s="33"/>
    </row>
    <row r="926" spans="30:31" ht="12" x14ac:dyDescent="0.3">
      <c r="AD926" s="33"/>
      <c r="AE926" s="33"/>
    </row>
    <row r="927" spans="30:31" ht="12" x14ac:dyDescent="0.3">
      <c r="AD927" s="33"/>
      <c r="AE927" s="33"/>
    </row>
    <row r="928" spans="30:31" ht="12" x14ac:dyDescent="0.3">
      <c r="AD928" s="33"/>
      <c r="AE928" s="33"/>
    </row>
    <row r="929" spans="30:31" ht="12" x14ac:dyDescent="0.3">
      <c r="AD929" s="33"/>
      <c r="AE929" s="33"/>
    </row>
    <row r="930" spans="30:31" ht="12" x14ac:dyDescent="0.3">
      <c r="AD930" s="33"/>
      <c r="AE930" s="33"/>
    </row>
    <row r="931" spans="30:31" ht="12" x14ac:dyDescent="0.3">
      <c r="AD931" s="33"/>
      <c r="AE931" s="33"/>
    </row>
    <row r="932" spans="30:31" ht="12" x14ac:dyDescent="0.3">
      <c r="AD932" s="33"/>
      <c r="AE932" s="33"/>
    </row>
    <row r="933" spans="30:31" ht="12" x14ac:dyDescent="0.3">
      <c r="AD933" s="33"/>
      <c r="AE933" s="33"/>
    </row>
    <row r="934" spans="30:31" ht="12" x14ac:dyDescent="0.3">
      <c r="AD934" s="33"/>
      <c r="AE934" s="33"/>
    </row>
    <row r="935" spans="30:31" ht="12" x14ac:dyDescent="0.3">
      <c r="AD935" s="33"/>
      <c r="AE935" s="33"/>
    </row>
    <row r="936" spans="30:31" ht="12" x14ac:dyDescent="0.3">
      <c r="AD936" s="33"/>
      <c r="AE936" s="33"/>
    </row>
    <row r="937" spans="30:31" ht="12" x14ac:dyDescent="0.3">
      <c r="AD937" s="33"/>
      <c r="AE937" s="33"/>
    </row>
    <row r="938" spans="30:31" ht="12" x14ac:dyDescent="0.3">
      <c r="AD938" s="33"/>
      <c r="AE938" s="33"/>
    </row>
    <row r="939" spans="30:31" ht="12" x14ac:dyDescent="0.3">
      <c r="AD939" s="33"/>
      <c r="AE939" s="33"/>
    </row>
    <row r="940" spans="30:31" ht="12" x14ac:dyDescent="0.3">
      <c r="AD940" s="33"/>
      <c r="AE940" s="33"/>
    </row>
    <row r="941" spans="30:31" ht="12" x14ac:dyDescent="0.3">
      <c r="AD941" s="33"/>
      <c r="AE941" s="33"/>
    </row>
    <row r="942" spans="30:31" ht="12" x14ac:dyDescent="0.3">
      <c r="AD942" s="33"/>
      <c r="AE942" s="33"/>
    </row>
    <row r="943" spans="30:31" ht="12" x14ac:dyDescent="0.3">
      <c r="AD943" s="33"/>
      <c r="AE943" s="33"/>
    </row>
    <row r="944" spans="30:31" ht="12" x14ac:dyDescent="0.3">
      <c r="AD944" s="33"/>
      <c r="AE944" s="33"/>
    </row>
    <row r="945" spans="30:31" ht="12" x14ac:dyDescent="0.3">
      <c r="AD945" s="33"/>
      <c r="AE945" s="33"/>
    </row>
    <row r="946" spans="30:31" ht="12" x14ac:dyDescent="0.3">
      <c r="AD946" s="33"/>
      <c r="AE946" s="33"/>
    </row>
    <row r="947" spans="30:31" ht="12" x14ac:dyDescent="0.3">
      <c r="AD947" s="33"/>
      <c r="AE947" s="33"/>
    </row>
    <row r="948" spans="30:31" ht="12" x14ac:dyDescent="0.3">
      <c r="AD948" s="33"/>
      <c r="AE948" s="33"/>
    </row>
    <row r="949" spans="30:31" ht="12" x14ac:dyDescent="0.3">
      <c r="AD949" s="33"/>
      <c r="AE949" s="33"/>
    </row>
    <row r="950" spans="30:31" ht="12" x14ac:dyDescent="0.3">
      <c r="AD950" s="33"/>
      <c r="AE950" s="33"/>
    </row>
    <row r="951" spans="30:31" ht="12" x14ac:dyDescent="0.3">
      <c r="AD951" s="33"/>
      <c r="AE951" s="33"/>
    </row>
    <row r="952" spans="30:31" ht="12" x14ac:dyDescent="0.3">
      <c r="AD952" s="33"/>
      <c r="AE952" s="33"/>
    </row>
    <row r="953" spans="30:31" ht="12" x14ac:dyDescent="0.3">
      <c r="AD953" s="33"/>
      <c r="AE953" s="33"/>
    </row>
    <row r="954" spans="30:31" ht="12" x14ac:dyDescent="0.3">
      <c r="AD954" s="33"/>
      <c r="AE954" s="33"/>
    </row>
    <row r="955" spans="30:31" ht="12" x14ac:dyDescent="0.3">
      <c r="AD955" s="33"/>
      <c r="AE955" s="33"/>
    </row>
    <row r="956" spans="30:31" ht="12" x14ac:dyDescent="0.3">
      <c r="AD956" s="33"/>
      <c r="AE956" s="33"/>
    </row>
    <row r="957" spans="30:31" ht="12" x14ac:dyDescent="0.3">
      <c r="AD957" s="33"/>
      <c r="AE957" s="33"/>
    </row>
    <row r="958" spans="30:31" ht="12" x14ac:dyDescent="0.3">
      <c r="AD958" s="33"/>
      <c r="AE958" s="33"/>
    </row>
    <row r="959" spans="30:31" ht="12" x14ac:dyDescent="0.3">
      <c r="AD959" s="33"/>
      <c r="AE959" s="33"/>
    </row>
    <row r="960" spans="30:31" ht="12" x14ac:dyDescent="0.3">
      <c r="AD960" s="33"/>
      <c r="AE960" s="33"/>
    </row>
    <row r="961" spans="30:31" ht="12" x14ac:dyDescent="0.3">
      <c r="AD961" s="33"/>
      <c r="AE961" s="33"/>
    </row>
    <row r="962" spans="30:31" ht="12" x14ac:dyDescent="0.3">
      <c r="AD962" s="33"/>
      <c r="AE962" s="33"/>
    </row>
    <row r="963" spans="30:31" ht="12" x14ac:dyDescent="0.3">
      <c r="AD963" s="33"/>
      <c r="AE963" s="33"/>
    </row>
    <row r="964" spans="30:31" ht="12" x14ac:dyDescent="0.3">
      <c r="AD964" s="33"/>
      <c r="AE964" s="33"/>
    </row>
    <row r="965" spans="30:31" ht="12" x14ac:dyDescent="0.3">
      <c r="AD965" s="33"/>
      <c r="AE965" s="33"/>
    </row>
    <row r="966" spans="30:31" ht="12" x14ac:dyDescent="0.3">
      <c r="AD966" s="33"/>
      <c r="AE966" s="33"/>
    </row>
  </sheetData>
  <autoFilter ref="A2:CM85" xr:uid="{00000000-0001-0000-0000-000000000000}"/>
  <customSheetViews>
    <customSheetView guid="{2FCF1042-317D-405B-9755-79F67EE60BF7}" filter="1" showAutoFilter="1">
      <pageMargins left="0.7" right="0.7" top="0.75" bottom="0.75" header="0.3" footer="0.3"/>
      <autoFilter ref="A1:CM966" xr:uid="{689DE1BA-EF83-456E-8C88-D22524402F5A}">
        <filterColumn colId="29">
          <filters>
            <filter val="-"/>
            <filter val="L"/>
            <filter val="MG"/>
            <filter val="ML"/>
            <filter val="UL"/>
            <filter val="W/O"/>
          </filters>
        </filterColumn>
      </autoFilter>
    </customSheetView>
    <customSheetView guid="{93283C9E-E88D-4500-8E1D-09A6AA1B1713}" filter="1" showAutoFilter="1">
      <pageMargins left="0.7" right="0.7" top="0.75" bottom="0.75" header="0.3" footer="0.3"/>
      <autoFilter ref="A2:CM85" xr:uid="{D02C7195-1953-4295-A29D-1F50B00EE3D9}">
        <filterColumn colId="4">
          <filters blank="1">
            <filter val="AIMA"/>
            <filter val="BHT"/>
            <filter val="Cartzy"/>
            <filter val="CCTV"/>
            <filter val="Long leaves"/>
            <filter val="Maternity"/>
            <filter val="RCA Analysis"/>
            <filter val="Resigned"/>
            <filter val="SOC"/>
          </filters>
        </filterColumn>
        <filterColumn colId="6">
          <filters>
            <filter val="Suvali"/>
            <filter val="Long leaves"/>
          </filters>
        </filterColumn>
        <filterColumn colId="23">
          <filters blank="1">
            <filter val="-"/>
            <filter val="ML"/>
            <filter val="P"/>
            <filter val="UL"/>
            <filter val="W/O"/>
          </filters>
        </filterColumn>
      </autoFilter>
    </customSheetView>
    <customSheetView guid="{6CA5A66D-F0E4-4B98-B57D-AE8003213ED1}" filter="1" showAutoFilter="1">
      <pageMargins left="0.7" right="0.7" top="0.75" bottom="0.75" header="0.3" footer="0.3"/>
      <autoFilter ref="A2:CM85" xr:uid="{15582D60-DE15-406D-9B5B-F1DAC0802C15}">
        <filterColumn colId="6">
          <filters>
            <filter val="Suvali"/>
            <filter val="Long leaves"/>
          </filters>
        </filterColumn>
      </autoFilter>
    </customSheetView>
  </customSheetViews>
  <mergeCells count="3">
    <mergeCell ref="BD1:BI1"/>
    <mergeCell ref="BJ1:BO1"/>
    <mergeCell ref="BP1:BU1"/>
  </mergeCells>
  <hyperlinks>
    <hyperlink ref="A2" r:id="rId1" xr:uid="{00000000-0004-0000-00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D8D3-CBD3-4AD6-B0DC-1B9DBCEB32F5}">
  <dimension ref="A1:I83"/>
  <sheetViews>
    <sheetView workbookViewId="0">
      <selection activeCell="C3" sqref="C3:C83"/>
    </sheetView>
  </sheetViews>
  <sheetFormatPr defaultRowHeight="12.5" x14ac:dyDescent="0.25"/>
  <cols>
    <col min="1" max="1" width="5.1796875" bestFit="1" customWidth="1"/>
    <col min="2" max="2" width="9.1796875" bestFit="1" customWidth="1"/>
    <col min="3" max="3" width="22.6328125" bestFit="1" customWidth="1"/>
    <col min="4" max="4" width="11.26953125" customWidth="1"/>
    <col min="5" max="6" width="3.81640625" bestFit="1" customWidth="1"/>
    <col min="7" max="7" width="4.81640625" bestFit="1" customWidth="1"/>
    <col min="8" max="8" width="3.81640625" bestFit="1" customWidth="1"/>
    <col min="9" max="9" width="7.453125" bestFit="1" customWidth="1"/>
  </cols>
  <sheetData>
    <row r="1" spans="1:9" ht="14.5" x14ac:dyDescent="0.35">
      <c r="A1" s="51" t="s">
        <v>31</v>
      </c>
      <c r="B1" s="53" t="s">
        <v>32</v>
      </c>
      <c r="C1" s="53" t="s">
        <v>33</v>
      </c>
      <c r="D1" s="148" t="s">
        <v>252</v>
      </c>
      <c r="E1" s="149"/>
      <c r="F1" s="149"/>
      <c r="G1" s="149"/>
      <c r="H1" s="149"/>
      <c r="I1" s="150"/>
    </row>
    <row r="2" spans="1:9" ht="58" x14ac:dyDescent="0.35">
      <c r="A2" s="52"/>
      <c r="B2" s="54"/>
      <c r="C2" s="54"/>
      <c r="D2" s="55" t="s">
        <v>50</v>
      </c>
      <c r="E2" s="55" t="s">
        <v>51</v>
      </c>
      <c r="F2" s="55" t="s">
        <v>52</v>
      </c>
      <c r="G2" s="55" t="s">
        <v>53</v>
      </c>
      <c r="H2" s="55" t="s">
        <v>21</v>
      </c>
      <c r="I2" s="55" t="s">
        <v>54</v>
      </c>
    </row>
    <row r="3" spans="1:9" ht="18" x14ac:dyDescent="0.55000000000000004">
      <c r="A3" s="1">
        <v>1</v>
      </c>
      <c r="B3" s="56" t="s">
        <v>236</v>
      </c>
      <c r="C3" s="60"/>
      <c r="D3" s="57">
        <v>0</v>
      </c>
      <c r="E3" s="57">
        <v>0</v>
      </c>
      <c r="F3" s="57">
        <v>0</v>
      </c>
      <c r="G3" s="57">
        <v>7</v>
      </c>
      <c r="H3" s="57">
        <v>15</v>
      </c>
      <c r="I3" s="57">
        <v>0.5</v>
      </c>
    </row>
    <row r="4" spans="1:9" ht="18" x14ac:dyDescent="0.55000000000000004">
      <c r="A4" s="1">
        <f t="shared" ref="A4:A35" si="0">A3+1</f>
        <v>2</v>
      </c>
      <c r="B4" s="56" t="s">
        <v>245</v>
      </c>
      <c r="C4" s="60"/>
      <c r="D4" s="57">
        <v>0</v>
      </c>
      <c r="E4" s="57">
        <v>0</v>
      </c>
      <c r="F4" s="57">
        <v>0</v>
      </c>
      <c r="G4" s="57">
        <v>0</v>
      </c>
      <c r="H4" s="57">
        <v>15</v>
      </c>
      <c r="I4" s="57">
        <v>0.5</v>
      </c>
    </row>
    <row r="5" spans="1:9" ht="18" x14ac:dyDescent="0.55000000000000004">
      <c r="A5" s="1">
        <f t="shared" si="0"/>
        <v>3</v>
      </c>
      <c r="B5" s="56" t="s">
        <v>133</v>
      </c>
      <c r="C5" s="60"/>
      <c r="D5" s="57">
        <v>0</v>
      </c>
      <c r="E5" s="57">
        <v>0</v>
      </c>
      <c r="F5" s="57">
        <v>0</v>
      </c>
      <c r="G5" s="57">
        <v>3</v>
      </c>
      <c r="H5" s="57">
        <v>15</v>
      </c>
      <c r="I5" s="57">
        <v>0.5</v>
      </c>
    </row>
    <row r="6" spans="1:9" ht="18" x14ac:dyDescent="0.55000000000000004">
      <c r="A6" s="1">
        <f t="shared" si="0"/>
        <v>4</v>
      </c>
      <c r="B6" s="56" t="s">
        <v>56</v>
      </c>
      <c r="C6" s="60"/>
      <c r="D6" s="57">
        <v>0</v>
      </c>
      <c r="E6" s="57">
        <v>0.5</v>
      </c>
      <c r="F6" s="57">
        <v>2</v>
      </c>
      <c r="G6" s="57">
        <v>12</v>
      </c>
      <c r="H6" s="57">
        <v>15</v>
      </c>
      <c r="I6" s="57">
        <v>0.5</v>
      </c>
    </row>
    <row r="7" spans="1:9" ht="18" x14ac:dyDescent="0.55000000000000004">
      <c r="A7" s="1">
        <f t="shared" si="0"/>
        <v>5</v>
      </c>
      <c r="B7" s="56" t="s">
        <v>63</v>
      </c>
      <c r="C7" s="60"/>
      <c r="D7" s="57">
        <v>0</v>
      </c>
      <c r="E7" s="57">
        <v>0</v>
      </c>
      <c r="F7" s="57">
        <v>0</v>
      </c>
      <c r="G7" s="57">
        <v>5.5</v>
      </c>
      <c r="H7" s="57">
        <v>15</v>
      </c>
      <c r="I7" s="57">
        <v>0.5</v>
      </c>
    </row>
    <row r="8" spans="1:9" ht="18" x14ac:dyDescent="0.55000000000000004">
      <c r="A8" s="1">
        <f t="shared" si="0"/>
        <v>6</v>
      </c>
      <c r="B8" s="56" t="s">
        <v>65</v>
      </c>
      <c r="C8" s="61"/>
      <c r="D8" s="57">
        <v>0</v>
      </c>
      <c r="E8" s="57">
        <v>0</v>
      </c>
      <c r="F8" s="57">
        <v>0</v>
      </c>
      <c r="G8" s="57">
        <v>5.5</v>
      </c>
      <c r="H8" s="57">
        <v>15</v>
      </c>
      <c r="I8" s="57">
        <v>0.5</v>
      </c>
    </row>
    <row r="9" spans="1:9" ht="18" x14ac:dyDescent="0.55000000000000004">
      <c r="A9" s="1">
        <f t="shared" si="0"/>
        <v>7</v>
      </c>
      <c r="B9" s="56" t="s">
        <v>67</v>
      </c>
      <c r="C9" s="60"/>
      <c r="D9" s="57">
        <v>0</v>
      </c>
      <c r="E9" s="57">
        <v>0</v>
      </c>
      <c r="F9" s="57">
        <v>0</v>
      </c>
      <c r="G9" s="57">
        <v>0</v>
      </c>
      <c r="H9" s="57">
        <v>15</v>
      </c>
      <c r="I9" s="57">
        <v>0.5</v>
      </c>
    </row>
    <row r="10" spans="1:9" ht="18" x14ac:dyDescent="0.55000000000000004">
      <c r="A10" s="1">
        <f t="shared" si="0"/>
        <v>8</v>
      </c>
      <c r="B10" s="56" t="s">
        <v>69</v>
      </c>
      <c r="C10" s="60"/>
      <c r="D10" s="57">
        <v>0</v>
      </c>
      <c r="E10" s="57">
        <v>0</v>
      </c>
      <c r="F10" s="57">
        <v>2</v>
      </c>
      <c r="G10" s="57">
        <v>10</v>
      </c>
      <c r="H10" s="57">
        <v>0</v>
      </c>
      <c r="I10" s="57">
        <v>0.5</v>
      </c>
    </row>
    <row r="11" spans="1:9" ht="18" x14ac:dyDescent="0.55000000000000004">
      <c r="A11" s="1">
        <f t="shared" si="0"/>
        <v>9</v>
      </c>
      <c r="B11" s="56" t="s">
        <v>226</v>
      </c>
      <c r="C11" s="60"/>
      <c r="D11" s="57">
        <v>0</v>
      </c>
      <c r="E11" s="57">
        <v>0</v>
      </c>
      <c r="F11" s="57">
        <v>0</v>
      </c>
      <c r="G11" s="57">
        <v>9.5</v>
      </c>
      <c r="H11" s="57">
        <v>15</v>
      </c>
      <c r="I11" s="57">
        <v>0.5</v>
      </c>
    </row>
    <row r="12" spans="1:9" ht="18" x14ac:dyDescent="0.55000000000000004">
      <c r="A12" s="1">
        <f t="shared" si="0"/>
        <v>10</v>
      </c>
      <c r="B12" s="56" t="s">
        <v>234</v>
      </c>
      <c r="C12" s="60"/>
      <c r="D12" s="57">
        <v>0</v>
      </c>
      <c r="E12" s="57">
        <v>0</v>
      </c>
      <c r="F12" s="57">
        <v>0</v>
      </c>
      <c r="G12" s="57">
        <v>0</v>
      </c>
      <c r="H12" s="57">
        <v>15</v>
      </c>
      <c r="I12" s="57">
        <v>0.5</v>
      </c>
    </row>
    <row r="13" spans="1:9" ht="18" x14ac:dyDescent="0.55000000000000004">
      <c r="A13" s="1">
        <f t="shared" si="0"/>
        <v>11</v>
      </c>
      <c r="B13" s="56" t="s">
        <v>71</v>
      </c>
      <c r="C13" s="60"/>
      <c r="D13" s="57">
        <v>0</v>
      </c>
      <c r="E13" s="57">
        <v>0</v>
      </c>
      <c r="F13" s="57">
        <v>0</v>
      </c>
      <c r="G13" s="57">
        <v>4.5</v>
      </c>
      <c r="H13" s="57">
        <v>15</v>
      </c>
      <c r="I13" s="57">
        <v>0.5</v>
      </c>
    </row>
    <row r="14" spans="1:9" ht="18" x14ac:dyDescent="0.55000000000000004">
      <c r="A14" s="1">
        <f t="shared" si="0"/>
        <v>12</v>
      </c>
      <c r="B14" s="56" t="s">
        <v>74</v>
      </c>
      <c r="C14" s="60"/>
      <c r="D14" s="57">
        <v>0</v>
      </c>
      <c r="E14" s="57">
        <v>0</v>
      </c>
      <c r="F14" s="57">
        <v>1.5</v>
      </c>
      <c r="G14" s="57">
        <v>12</v>
      </c>
      <c r="H14" s="57">
        <v>15</v>
      </c>
      <c r="I14" s="57">
        <v>0.5</v>
      </c>
    </row>
    <row r="15" spans="1:9" ht="18" x14ac:dyDescent="0.55000000000000004">
      <c r="A15" s="1">
        <f t="shared" si="0"/>
        <v>13</v>
      </c>
      <c r="B15" s="56" t="s">
        <v>106</v>
      </c>
      <c r="C15" s="60"/>
      <c r="D15" s="57">
        <v>0</v>
      </c>
      <c r="E15" s="57">
        <v>0</v>
      </c>
      <c r="F15" s="57">
        <v>0</v>
      </c>
      <c r="G15" s="57">
        <v>2</v>
      </c>
      <c r="H15" s="57">
        <v>15</v>
      </c>
      <c r="I15" s="57">
        <v>0.5</v>
      </c>
    </row>
    <row r="16" spans="1:9" ht="18" x14ac:dyDescent="0.55000000000000004">
      <c r="A16" s="1">
        <f t="shared" si="0"/>
        <v>14</v>
      </c>
      <c r="B16" s="56" t="s">
        <v>108</v>
      </c>
      <c r="C16" s="60"/>
      <c r="D16" s="57">
        <v>0</v>
      </c>
      <c r="E16" s="57">
        <v>0</v>
      </c>
      <c r="F16" s="57">
        <v>0</v>
      </c>
      <c r="G16" s="57">
        <v>2</v>
      </c>
      <c r="H16" s="57">
        <v>0</v>
      </c>
      <c r="I16" s="57">
        <v>0.5</v>
      </c>
    </row>
    <row r="17" spans="1:9" ht="18" x14ac:dyDescent="0.55000000000000004">
      <c r="A17" s="1">
        <f t="shared" si="0"/>
        <v>15</v>
      </c>
      <c r="B17" s="56" t="s">
        <v>76</v>
      </c>
      <c r="C17" s="60"/>
      <c r="D17" s="57">
        <v>0</v>
      </c>
      <c r="E17" s="57">
        <v>0.5</v>
      </c>
      <c r="F17" s="57">
        <v>1</v>
      </c>
      <c r="G17" s="57">
        <v>8.3000000000000007</v>
      </c>
      <c r="H17" s="57">
        <v>15</v>
      </c>
      <c r="I17" s="57">
        <v>0.5</v>
      </c>
    </row>
    <row r="18" spans="1:9" ht="18" x14ac:dyDescent="0.55000000000000004">
      <c r="A18" s="1">
        <f t="shared" si="0"/>
        <v>16</v>
      </c>
      <c r="B18" s="56" t="s">
        <v>79</v>
      </c>
      <c r="C18" s="60"/>
      <c r="D18" s="57">
        <v>0</v>
      </c>
      <c r="E18" s="57">
        <v>0</v>
      </c>
      <c r="F18" s="57">
        <v>0</v>
      </c>
      <c r="G18" s="57">
        <v>4.5</v>
      </c>
      <c r="H18" s="57">
        <v>15</v>
      </c>
      <c r="I18" s="57">
        <v>0.5</v>
      </c>
    </row>
    <row r="19" spans="1:9" ht="18" x14ac:dyDescent="0.55000000000000004">
      <c r="A19" s="1">
        <f t="shared" si="0"/>
        <v>17</v>
      </c>
      <c r="B19" s="58" t="s">
        <v>218</v>
      </c>
      <c r="C19" s="62"/>
      <c r="D19" s="57">
        <v>0</v>
      </c>
      <c r="E19" s="57">
        <v>0</v>
      </c>
      <c r="F19" s="57">
        <v>0</v>
      </c>
      <c r="G19" s="57">
        <v>0</v>
      </c>
      <c r="H19" s="57">
        <v>0</v>
      </c>
      <c r="I19" s="57">
        <v>0.5</v>
      </c>
    </row>
    <row r="20" spans="1:9" ht="18" x14ac:dyDescent="0.55000000000000004">
      <c r="A20" s="1">
        <f t="shared" si="0"/>
        <v>18</v>
      </c>
      <c r="B20" s="56" t="s">
        <v>81</v>
      </c>
      <c r="C20" s="60"/>
      <c r="D20" s="57">
        <v>0</v>
      </c>
      <c r="E20" s="57">
        <v>0</v>
      </c>
      <c r="F20" s="57">
        <v>0</v>
      </c>
      <c r="G20" s="57">
        <v>6.5</v>
      </c>
      <c r="H20" s="57">
        <v>15</v>
      </c>
      <c r="I20" s="57">
        <v>0.5</v>
      </c>
    </row>
    <row r="21" spans="1:9" ht="18" x14ac:dyDescent="0.55000000000000004">
      <c r="A21" s="1">
        <f t="shared" si="0"/>
        <v>19</v>
      </c>
      <c r="B21" s="56" t="s">
        <v>223</v>
      </c>
      <c r="C21" s="60"/>
      <c r="D21" s="57">
        <v>0</v>
      </c>
      <c r="E21" s="57">
        <v>0</v>
      </c>
      <c r="F21" s="57">
        <v>0</v>
      </c>
      <c r="G21" s="57">
        <v>0</v>
      </c>
      <c r="H21" s="57">
        <v>15</v>
      </c>
      <c r="I21" s="57">
        <v>0.5</v>
      </c>
    </row>
    <row r="22" spans="1:9" ht="18" x14ac:dyDescent="0.55000000000000004">
      <c r="A22" s="1">
        <f t="shared" si="0"/>
        <v>20</v>
      </c>
      <c r="B22" s="56" t="s">
        <v>85</v>
      </c>
      <c r="C22" s="60"/>
      <c r="D22" s="57">
        <v>0</v>
      </c>
      <c r="E22" s="57">
        <v>0</v>
      </c>
      <c r="F22" s="57">
        <v>0</v>
      </c>
      <c r="G22" s="57">
        <v>10</v>
      </c>
      <c r="H22" s="57">
        <v>15</v>
      </c>
      <c r="I22" s="57">
        <v>0.5</v>
      </c>
    </row>
    <row r="23" spans="1:9" ht="18" x14ac:dyDescent="0.55000000000000004">
      <c r="A23" s="1">
        <f t="shared" si="0"/>
        <v>21</v>
      </c>
      <c r="B23" s="56" t="s">
        <v>103</v>
      </c>
      <c r="C23" s="60"/>
      <c r="D23" s="57">
        <v>0</v>
      </c>
      <c r="E23" s="57">
        <v>0</v>
      </c>
      <c r="F23" s="57">
        <v>0</v>
      </c>
      <c r="G23" s="57">
        <v>2.2999999999999998</v>
      </c>
      <c r="H23" s="57">
        <v>15</v>
      </c>
      <c r="I23" s="57">
        <v>0.5</v>
      </c>
    </row>
    <row r="24" spans="1:9" ht="18" x14ac:dyDescent="0.55000000000000004">
      <c r="A24" s="1">
        <f t="shared" si="0"/>
        <v>22</v>
      </c>
      <c r="B24" s="56" t="s">
        <v>87</v>
      </c>
      <c r="C24" s="60"/>
      <c r="D24" s="57">
        <v>0</v>
      </c>
      <c r="E24" s="57">
        <v>0</v>
      </c>
      <c r="F24" s="57">
        <v>0</v>
      </c>
      <c r="G24" s="57">
        <v>0</v>
      </c>
      <c r="H24" s="57">
        <v>15</v>
      </c>
      <c r="I24" s="57">
        <v>0.5</v>
      </c>
    </row>
    <row r="25" spans="1:9" ht="18" x14ac:dyDescent="0.55000000000000004">
      <c r="A25" s="1">
        <f t="shared" si="0"/>
        <v>23</v>
      </c>
      <c r="B25" s="56" t="s">
        <v>230</v>
      </c>
      <c r="C25" s="60"/>
      <c r="D25" s="57">
        <v>0</v>
      </c>
      <c r="E25" s="57">
        <v>0</v>
      </c>
      <c r="F25" s="57">
        <v>0</v>
      </c>
      <c r="G25" s="57">
        <v>2.5</v>
      </c>
      <c r="H25" s="57">
        <v>15</v>
      </c>
      <c r="I25" s="57">
        <v>0.5</v>
      </c>
    </row>
    <row r="26" spans="1:9" ht="18" x14ac:dyDescent="0.55000000000000004">
      <c r="A26" s="1">
        <f t="shared" si="0"/>
        <v>24</v>
      </c>
      <c r="B26" s="56" t="s">
        <v>239</v>
      </c>
      <c r="C26" s="60"/>
      <c r="D26" s="57">
        <v>0</v>
      </c>
      <c r="E26" s="57">
        <v>0</v>
      </c>
      <c r="F26" s="57">
        <v>0</v>
      </c>
      <c r="G26" s="57">
        <v>1</v>
      </c>
      <c r="H26" s="57">
        <v>15</v>
      </c>
      <c r="I26" s="57">
        <v>0.5</v>
      </c>
    </row>
    <row r="27" spans="1:9" ht="18" x14ac:dyDescent="0.55000000000000004">
      <c r="A27" s="1">
        <f t="shared" si="0"/>
        <v>25</v>
      </c>
      <c r="B27" s="56" t="s">
        <v>112</v>
      </c>
      <c r="C27" s="60"/>
      <c r="D27" s="57">
        <v>4</v>
      </c>
      <c r="E27" s="57">
        <v>5</v>
      </c>
      <c r="F27" s="57">
        <v>5</v>
      </c>
      <c r="G27" s="57">
        <v>12</v>
      </c>
      <c r="H27" s="57">
        <v>15</v>
      </c>
      <c r="I27" s="57">
        <v>0.5</v>
      </c>
    </row>
    <row r="28" spans="1:9" ht="18" x14ac:dyDescent="0.55000000000000004">
      <c r="A28" s="1">
        <f t="shared" si="0"/>
        <v>26</v>
      </c>
      <c r="B28" s="56" t="s">
        <v>110</v>
      </c>
      <c r="C28" s="60"/>
      <c r="D28" s="57">
        <v>0</v>
      </c>
      <c r="E28" s="57">
        <v>0</v>
      </c>
      <c r="F28" s="57">
        <v>0</v>
      </c>
      <c r="G28" s="57">
        <v>0</v>
      </c>
      <c r="H28" s="57">
        <v>15</v>
      </c>
      <c r="I28" s="57">
        <v>0.5</v>
      </c>
    </row>
    <row r="29" spans="1:9" ht="18" x14ac:dyDescent="0.55000000000000004">
      <c r="A29" s="1">
        <f t="shared" si="0"/>
        <v>27</v>
      </c>
      <c r="B29" s="56" t="s">
        <v>115</v>
      </c>
      <c r="C29" s="60"/>
      <c r="D29" s="57">
        <v>0</v>
      </c>
      <c r="E29" s="57">
        <v>0</v>
      </c>
      <c r="F29" s="57">
        <v>0</v>
      </c>
      <c r="G29" s="57">
        <v>3</v>
      </c>
      <c r="H29" s="57">
        <v>15</v>
      </c>
      <c r="I29" s="57">
        <v>0.5</v>
      </c>
    </row>
    <row r="30" spans="1:9" ht="18" x14ac:dyDescent="0.55000000000000004">
      <c r="A30" s="1">
        <f t="shared" si="0"/>
        <v>28</v>
      </c>
      <c r="B30" s="56" t="s">
        <v>119</v>
      </c>
      <c r="C30" s="60"/>
      <c r="D30" s="57">
        <v>0</v>
      </c>
      <c r="E30" s="57">
        <v>0</v>
      </c>
      <c r="F30" s="57">
        <v>0</v>
      </c>
      <c r="G30" s="57">
        <v>1</v>
      </c>
      <c r="H30" s="57">
        <v>0</v>
      </c>
      <c r="I30" s="57">
        <v>0.5</v>
      </c>
    </row>
    <row r="31" spans="1:9" ht="18" x14ac:dyDescent="0.55000000000000004">
      <c r="A31" s="1">
        <f t="shared" si="0"/>
        <v>29</v>
      </c>
      <c r="B31" s="56" t="s">
        <v>122</v>
      </c>
      <c r="C31" s="60"/>
      <c r="D31" s="57">
        <v>0</v>
      </c>
      <c r="E31" s="57">
        <v>0</v>
      </c>
      <c r="F31" s="57">
        <v>0</v>
      </c>
      <c r="G31" s="57">
        <v>5.5</v>
      </c>
      <c r="H31" s="57">
        <v>15</v>
      </c>
      <c r="I31" s="57">
        <v>0.5</v>
      </c>
    </row>
    <row r="32" spans="1:9" ht="18" x14ac:dyDescent="0.55000000000000004">
      <c r="A32" s="1">
        <f t="shared" si="0"/>
        <v>30</v>
      </c>
      <c r="B32" s="56" t="s">
        <v>128</v>
      </c>
      <c r="C32" s="60"/>
      <c r="D32" s="57">
        <v>0</v>
      </c>
      <c r="E32" s="57">
        <v>0.5</v>
      </c>
      <c r="F32" s="57">
        <v>0.5</v>
      </c>
      <c r="G32" s="57">
        <v>11</v>
      </c>
      <c r="H32" s="57">
        <v>15</v>
      </c>
      <c r="I32" s="57">
        <v>0.5</v>
      </c>
    </row>
    <row r="33" spans="1:9" ht="18" x14ac:dyDescent="0.55000000000000004">
      <c r="A33" s="1">
        <f t="shared" si="0"/>
        <v>31</v>
      </c>
      <c r="B33" s="56" t="s">
        <v>138</v>
      </c>
      <c r="C33" s="60"/>
      <c r="D33" s="57">
        <v>0</v>
      </c>
      <c r="E33" s="57">
        <v>0</v>
      </c>
      <c r="F33" s="57">
        <v>0</v>
      </c>
      <c r="G33" s="57">
        <v>7.5</v>
      </c>
      <c r="H33" s="57">
        <v>15</v>
      </c>
      <c r="I33" s="57">
        <v>0.5</v>
      </c>
    </row>
    <row r="34" spans="1:9" ht="18" x14ac:dyDescent="0.55000000000000004">
      <c r="A34" s="1">
        <f t="shared" si="0"/>
        <v>32</v>
      </c>
      <c r="B34" s="56" t="s">
        <v>243</v>
      </c>
      <c r="C34" s="60"/>
      <c r="D34" s="57">
        <v>0</v>
      </c>
      <c r="E34" s="57">
        <v>0</v>
      </c>
      <c r="F34" s="57">
        <v>4</v>
      </c>
      <c r="G34" s="57">
        <v>12</v>
      </c>
      <c r="H34" s="57">
        <v>15</v>
      </c>
      <c r="I34" s="57">
        <v>0.5</v>
      </c>
    </row>
    <row r="35" spans="1:9" ht="18" x14ac:dyDescent="0.55000000000000004">
      <c r="A35" s="1">
        <f t="shared" si="0"/>
        <v>33</v>
      </c>
      <c r="B35" s="56" t="s">
        <v>131</v>
      </c>
      <c r="C35" s="60"/>
      <c r="D35" s="57">
        <v>0</v>
      </c>
      <c r="E35" s="57">
        <v>0.5</v>
      </c>
      <c r="F35" s="57">
        <v>0.5</v>
      </c>
      <c r="G35" s="57">
        <v>6</v>
      </c>
      <c r="H35" s="57">
        <v>15</v>
      </c>
      <c r="I35" s="57">
        <v>0.5</v>
      </c>
    </row>
    <row r="36" spans="1:9" ht="18" x14ac:dyDescent="0.55000000000000004">
      <c r="A36" s="1">
        <f t="shared" ref="A36:A67" si="1">A35+1</f>
        <v>34</v>
      </c>
      <c r="B36" s="56" t="s">
        <v>89</v>
      </c>
      <c r="C36" s="60"/>
      <c r="D36" s="57">
        <v>0</v>
      </c>
      <c r="E36" s="57">
        <v>0</v>
      </c>
      <c r="F36" s="57">
        <v>0</v>
      </c>
      <c r="G36" s="57">
        <v>5.8</v>
      </c>
      <c r="H36" s="57">
        <v>0</v>
      </c>
      <c r="I36" s="57">
        <v>0.5</v>
      </c>
    </row>
    <row r="37" spans="1:9" ht="18" x14ac:dyDescent="0.55000000000000004">
      <c r="A37" s="1">
        <f t="shared" si="1"/>
        <v>35</v>
      </c>
      <c r="B37" s="56" t="s">
        <v>91</v>
      </c>
      <c r="C37" s="60"/>
      <c r="D37" s="57">
        <v>0</v>
      </c>
      <c r="E37" s="57">
        <v>0</v>
      </c>
      <c r="F37" s="57">
        <v>0</v>
      </c>
      <c r="G37" s="57">
        <v>0</v>
      </c>
      <c r="H37" s="57">
        <v>0</v>
      </c>
      <c r="I37" s="57">
        <v>0.5</v>
      </c>
    </row>
    <row r="38" spans="1:9" ht="18" x14ac:dyDescent="0.55000000000000004">
      <c r="A38" s="1">
        <f t="shared" si="1"/>
        <v>36</v>
      </c>
      <c r="B38" s="56" t="s">
        <v>93</v>
      </c>
      <c r="C38" s="60"/>
      <c r="D38" s="57">
        <v>0</v>
      </c>
      <c r="E38" s="57">
        <v>1</v>
      </c>
      <c r="F38" s="57">
        <v>5</v>
      </c>
      <c r="G38" s="57">
        <v>12</v>
      </c>
      <c r="H38" s="57">
        <v>15</v>
      </c>
      <c r="I38" s="57">
        <v>0.5</v>
      </c>
    </row>
    <row r="39" spans="1:9" ht="18" x14ac:dyDescent="0.55000000000000004">
      <c r="A39" s="1">
        <f t="shared" si="1"/>
        <v>37</v>
      </c>
      <c r="B39" s="56" t="s">
        <v>95</v>
      </c>
      <c r="C39" s="60"/>
      <c r="D39" s="57">
        <v>0</v>
      </c>
      <c r="E39" s="57">
        <v>0</v>
      </c>
      <c r="F39" s="57">
        <v>0</v>
      </c>
      <c r="G39" s="57">
        <v>10.5</v>
      </c>
      <c r="H39" s="57">
        <v>15</v>
      </c>
      <c r="I39" s="57">
        <v>0.5</v>
      </c>
    </row>
    <row r="40" spans="1:9" ht="18" x14ac:dyDescent="0.55000000000000004">
      <c r="A40" s="1">
        <f t="shared" si="1"/>
        <v>38</v>
      </c>
      <c r="B40" s="56" t="s">
        <v>97</v>
      </c>
      <c r="C40" s="60"/>
      <c r="D40" s="57">
        <v>0</v>
      </c>
      <c r="E40" s="57">
        <v>0.5</v>
      </c>
      <c r="F40" s="57">
        <v>0.5</v>
      </c>
      <c r="G40" s="57">
        <v>1</v>
      </c>
      <c r="H40" s="57">
        <v>15</v>
      </c>
      <c r="I40" s="57">
        <v>0.5</v>
      </c>
    </row>
    <row r="41" spans="1:9" ht="18" x14ac:dyDescent="0.55000000000000004">
      <c r="A41" s="1">
        <f t="shared" si="1"/>
        <v>39</v>
      </c>
      <c r="B41" s="56" t="s">
        <v>140</v>
      </c>
      <c r="C41" s="60"/>
      <c r="D41" s="57">
        <v>0</v>
      </c>
      <c r="E41" s="57">
        <v>0.5</v>
      </c>
      <c r="F41" s="57">
        <v>0.5</v>
      </c>
      <c r="G41" s="57">
        <v>1</v>
      </c>
      <c r="H41" s="57">
        <v>15</v>
      </c>
      <c r="I41" s="57">
        <v>0.5</v>
      </c>
    </row>
    <row r="42" spans="1:9" ht="18" x14ac:dyDescent="0.55000000000000004">
      <c r="A42" s="1">
        <f t="shared" si="1"/>
        <v>40</v>
      </c>
      <c r="B42" s="56" t="s">
        <v>143</v>
      </c>
      <c r="C42" s="60"/>
      <c r="D42" s="57">
        <v>0</v>
      </c>
      <c r="E42" s="57">
        <v>0.5</v>
      </c>
      <c r="F42" s="57">
        <v>0.5</v>
      </c>
      <c r="G42" s="57">
        <v>4.5</v>
      </c>
      <c r="H42" s="57">
        <v>15</v>
      </c>
      <c r="I42" s="57">
        <v>0.5</v>
      </c>
    </row>
    <row r="43" spans="1:9" ht="18" x14ac:dyDescent="0.55000000000000004">
      <c r="A43" s="1">
        <f t="shared" si="1"/>
        <v>41</v>
      </c>
      <c r="B43" s="56" t="s">
        <v>145</v>
      </c>
      <c r="C43" s="60"/>
      <c r="D43" s="57">
        <v>0</v>
      </c>
      <c r="E43" s="57">
        <v>0</v>
      </c>
      <c r="F43" s="57">
        <v>1</v>
      </c>
      <c r="G43" s="57">
        <v>2</v>
      </c>
      <c r="H43" s="57">
        <v>0</v>
      </c>
      <c r="I43" s="57">
        <v>0.5</v>
      </c>
    </row>
    <row r="44" spans="1:9" ht="18" x14ac:dyDescent="0.55000000000000004">
      <c r="A44" s="1">
        <f t="shared" si="1"/>
        <v>42</v>
      </c>
      <c r="B44" s="56" t="s">
        <v>147</v>
      </c>
      <c r="C44" s="60"/>
      <c r="D44" s="57">
        <v>2</v>
      </c>
      <c r="E44" s="57">
        <v>5</v>
      </c>
      <c r="F44" s="57">
        <v>5</v>
      </c>
      <c r="G44" s="57">
        <v>12</v>
      </c>
      <c r="H44" s="57">
        <v>15</v>
      </c>
      <c r="I44" s="57">
        <v>0.5</v>
      </c>
    </row>
    <row r="45" spans="1:9" ht="18" x14ac:dyDescent="0.55000000000000004">
      <c r="A45" s="1">
        <f t="shared" si="1"/>
        <v>43</v>
      </c>
      <c r="B45" s="56" t="s">
        <v>99</v>
      </c>
      <c r="C45" s="60"/>
      <c r="D45" s="57">
        <v>0</v>
      </c>
      <c r="E45" s="57">
        <v>0</v>
      </c>
      <c r="F45" s="57">
        <v>0</v>
      </c>
      <c r="G45" s="57">
        <v>2.5</v>
      </c>
      <c r="H45" s="57">
        <v>15</v>
      </c>
      <c r="I45" s="57">
        <v>0.5</v>
      </c>
    </row>
    <row r="46" spans="1:9" ht="18" x14ac:dyDescent="0.55000000000000004">
      <c r="A46" s="1">
        <f t="shared" si="1"/>
        <v>44</v>
      </c>
      <c r="B46" s="56" t="s">
        <v>184</v>
      </c>
      <c r="C46" s="60"/>
      <c r="D46" s="57">
        <v>0</v>
      </c>
      <c r="E46" s="57">
        <v>0</v>
      </c>
      <c r="F46" s="57">
        <v>0</v>
      </c>
      <c r="G46" s="57">
        <v>9</v>
      </c>
      <c r="H46" s="57">
        <v>15</v>
      </c>
      <c r="I46" s="57">
        <v>0.5</v>
      </c>
    </row>
    <row r="47" spans="1:9" ht="18" x14ac:dyDescent="0.55000000000000004">
      <c r="A47" s="1">
        <f t="shared" si="1"/>
        <v>45</v>
      </c>
      <c r="B47" s="56" t="s">
        <v>181</v>
      </c>
      <c r="C47" s="60"/>
      <c r="D47" s="57">
        <v>0</v>
      </c>
      <c r="E47" s="57">
        <v>0.5</v>
      </c>
      <c r="F47" s="57">
        <v>1</v>
      </c>
      <c r="G47" s="57">
        <v>7</v>
      </c>
      <c r="H47" s="57">
        <v>15</v>
      </c>
      <c r="I47" s="57">
        <v>0.5</v>
      </c>
    </row>
    <row r="48" spans="1:9" ht="18" x14ac:dyDescent="0.55000000000000004">
      <c r="A48" s="1">
        <f t="shared" si="1"/>
        <v>46</v>
      </c>
      <c r="B48" s="56" t="s">
        <v>149</v>
      </c>
      <c r="C48" s="60"/>
      <c r="D48" s="57">
        <v>0</v>
      </c>
      <c r="E48" s="57">
        <v>0.5</v>
      </c>
      <c r="F48" s="57">
        <v>0.5</v>
      </c>
      <c r="G48" s="57">
        <v>7</v>
      </c>
      <c r="H48" s="57">
        <v>15</v>
      </c>
      <c r="I48" s="57">
        <v>0.5</v>
      </c>
    </row>
    <row r="49" spans="1:9" ht="18" x14ac:dyDescent="0.55000000000000004">
      <c r="A49" s="1">
        <f t="shared" si="1"/>
        <v>47</v>
      </c>
      <c r="B49" s="56" t="s">
        <v>151</v>
      </c>
      <c r="C49" s="63"/>
      <c r="D49" s="57">
        <v>0</v>
      </c>
      <c r="E49" s="57">
        <v>0</v>
      </c>
      <c r="F49" s="57">
        <v>0</v>
      </c>
      <c r="G49" s="57">
        <v>0</v>
      </c>
      <c r="H49" s="57">
        <v>15</v>
      </c>
      <c r="I49" s="57">
        <v>0.5</v>
      </c>
    </row>
    <row r="50" spans="1:9" ht="18" x14ac:dyDescent="0.55000000000000004">
      <c r="A50" s="1">
        <f t="shared" si="1"/>
        <v>48</v>
      </c>
      <c r="B50" s="56" t="s">
        <v>153</v>
      </c>
      <c r="C50" s="60"/>
      <c r="D50" s="57">
        <v>0</v>
      </c>
      <c r="E50" s="57">
        <v>0</v>
      </c>
      <c r="F50" s="57">
        <v>0</v>
      </c>
      <c r="G50" s="57">
        <v>5.5</v>
      </c>
      <c r="H50" s="57">
        <v>15</v>
      </c>
      <c r="I50" s="57">
        <v>0.5</v>
      </c>
    </row>
    <row r="51" spans="1:9" ht="18" x14ac:dyDescent="0.55000000000000004">
      <c r="A51" s="1">
        <f t="shared" si="1"/>
        <v>49</v>
      </c>
      <c r="B51" s="56" t="s">
        <v>228</v>
      </c>
      <c r="C51" s="60"/>
      <c r="D51" s="57">
        <v>0</v>
      </c>
      <c r="E51" s="57">
        <v>0</v>
      </c>
      <c r="F51" s="57">
        <v>0</v>
      </c>
      <c r="G51" s="57">
        <v>0</v>
      </c>
      <c r="H51" s="57">
        <v>15</v>
      </c>
      <c r="I51" s="57">
        <v>0.5</v>
      </c>
    </row>
    <row r="52" spans="1:9" ht="18" x14ac:dyDescent="0.55000000000000004">
      <c r="A52" s="1">
        <f t="shared" si="1"/>
        <v>50</v>
      </c>
      <c r="B52" s="56" t="s">
        <v>155</v>
      </c>
      <c r="C52" s="60"/>
      <c r="D52" s="57">
        <v>0</v>
      </c>
      <c r="E52" s="57">
        <v>0</v>
      </c>
      <c r="F52" s="57">
        <v>2</v>
      </c>
      <c r="G52" s="57">
        <v>12</v>
      </c>
      <c r="H52" s="57">
        <v>15</v>
      </c>
      <c r="I52" s="57">
        <v>0.5</v>
      </c>
    </row>
    <row r="53" spans="1:9" ht="18" x14ac:dyDescent="0.55000000000000004">
      <c r="A53" s="1">
        <f t="shared" si="1"/>
        <v>51</v>
      </c>
      <c r="B53" s="56" t="s">
        <v>101</v>
      </c>
      <c r="C53" s="60"/>
      <c r="D53" s="57">
        <v>0</v>
      </c>
      <c r="E53" s="57">
        <v>0</v>
      </c>
      <c r="F53" s="57">
        <v>0</v>
      </c>
      <c r="G53" s="57">
        <v>0</v>
      </c>
      <c r="H53" s="57">
        <v>15</v>
      </c>
      <c r="I53" s="57">
        <v>0.5</v>
      </c>
    </row>
    <row r="54" spans="1:9" ht="18" x14ac:dyDescent="0.55000000000000004">
      <c r="A54" s="1">
        <f t="shared" si="1"/>
        <v>52</v>
      </c>
      <c r="B54" s="56" t="s">
        <v>158</v>
      </c>
      <c r="C54" s="60"/>
      <c r="D54" s="57">
        <v>0</v>
      </c>
      <c r="E54" s="57">
        <v>0</v>
      </c>
      <c r="F54" s="57">
        <v>0</v>
      </c>
      <c r="G54" s="57">
        <v>3</v>
      </c>
      <c r="H54" s="57">
        <v>15</v>
      </c>
      <c r="I54" s="57">
        <v>0.5</v>
      </c>
    </row>
    <row r="55" spans="1:9" ht="18" x14ac:dyDescent="0.55000000000000004">
      <c r="A55" s="1">
        <f t="shared" si="1"/>
        <v>53</v>
      </c>
      <c r="B55" s="56" t="s">
        <v>160</v>
      </c>
      <c r="C55" s="60"/>
      <c r="D55" s="57">
        <v>0</v>
      </c>
      <c r="E55" s="57">
        <v>0</v>
      </c>
      <c r="F55" s="57">
        <v>0</v>
      </c>
      <c r="G55" s="57">
        <v>2</v>
      </c>
      <c r="H55" s="57">
        <v>15</v>
      </c>
      <c r="I55" s="57">
        <v>0.5</v>
      </c>
    </row>
    <row r="56" spans="1:9" ht="18" x14ac:dyDescent="0.55000000000000004">
      <c r="A56" s="1">
        <f t="shared" si="1"/>
        <v>54</v>
      </c>
      <c r="B56" s="56" t="s">
        <v>247</v>
      </c>
      <c r="C56" s="60"/>
      <c r="D56" s="57">
        <v>0</v>
      </c>
      <c r="E56" s="57">
        <v>0.5</v>
      </c>
      <c r="F56" s="57">
        <v>0.5</v>
      </c>
      <c r="G56" s="57">
        <v>10</v>
      </c>
      <c r="H56" s="57">
        <v>15</v>
      </c>
      <c r="I56" s="57">
        <v>0.5</v>
      </c>
    </row>
    <row r="57" spans="1:9" ht="18" x14ac:dyDescent="0.55000000000000004">
      <c r="A57" s="1">
        <f t="shared" si="1"/>
        <v>55</v>
      </c>
      <c r="B57" s="56" t="s">
        <v>162</v>
      </c>
      <c r="C57" s="60"/>
      <c r="D57" s="57">
        <v>0</v>
      </c>
      <c r="E57" s="57">
        <v>0</v>
      </c>
      <c r="F57" s="57">
        <v>0</v>
      </c>
      <c r="G57" s="57">
        <v>5</v>
      </c>
      <c r="H57" s="57">
        <v>15</v>
      </c>
      <c r="I57" s="57">
        <v>0.5</v>
      </c>
    </row>
    <row r="58" spans="1:9" ht="18" x14ac:dyDescent="0.55000000000000004">
      <c r="A58" s="1">
        <f t="shared" si="1"/>
        <v>56</v>
      </c>
      <c r="B58" s="56" t="s">
        <v>164</v>
      </c>
      <c r="C58" s="60"/>
      <c r="D58" s="57">
        <v>0</v>
      </c>
      <c r="E58" s="57">
        <v>0.5</v>
      </c>
      <c r="F58" s="57">
        <v>0.5</v>
      </c>
      <c r="G58" s="57">
        <v>10.5</v>
      </c>
      <c r="H58" s="57">
        <v>15</v>
      </c>
      <c r="I58" s="57">
        <v>0.5</v>
      </c>
    </row>
    <row r="59" spans="1:9" ht="18" x14ac:dyDescent="0.55000000000000004">
      <c r="A59" s="1">
        <f t="shared" si="1"/>
        <v>57</v>
      </c>
      <c r="B59" s="56" t="s">
        <v>166</v>
      </c>
      <c r="C59" s="60"/>
      <c r="D59" s="57">
        <v>0</v>
      </c>
      <c r="E59" s="57">
        <v>0</v>
      </c>
      <c r="F59" s="57">
        <v>0.5</v>
      </c>
      <c r="G59" s="57">
        <v>10.5</v>
      </c>
      <c r="H59" s="57">
        <v>15</v>
      </c>
      <c r="I59" s="57">
        <v>0.5</v>
      </c>
    </row>
    <row r="60" spans="1:9" ht="18" x14ac:dyDescent="0.55000000000000004">
      <c r="A60" s="1">
        <f t="shared" si="1"/>
        <v>58</v>
      </c>
      <c r="B60" s="56" t="s">
        <v>169</v>
      </c>
      <c r="C60" s="60"/>
      <c r="D60" s="57">
        <v>0</v>
      </c>
      <c r="E60" s="57">
        <v>0</v>
      </c>
      <c r="F60" s="57">
        <v>0</v>
      </c>
      <c r="G60" s="57">
        <v>8.5</v>
      </c>
      <c r="H60" s="57">
        <v>15</v>
      </c>
      <c r="I60" s="57">
        <v>0.5</v>
      </c>
    </row>
    <row r="61" spans="1:9" ht="18" x14ac:dyDescent="0.55000000000000004">
      <c r="A61" s="1">
        <f t="shared" si="1"/>
        <v>59</v>
      </c>
      <c r="B61" s="56" t="s">
        <v>171</v>
      </c>
      <c r="C61" s="60"/>
      <c r="D61" s="57">
        <v>0</v>
      </c>
      <c r="E61" s="57">
        <v>0</v>
      </c>
      <c r="F61" s="57">
        <v>0</v>
      </c>
      <c r="G61" s="57">
        <v>6</v>
      </c>
      <c r="H61" s="57">
        <v>15</v>
      </c>
      <c r="I61" s="57">
        <v>0.5</v>
      </c>
    </row>
    <row r="62" spans="1:9" ht="18" x14ac:dyDescent="0.55000000000000004">
      <c r="A62" s="1">
        <f t="shared" si="1"/>
        <v>60</v>
      </c>
      <c r="B62" s="56" t="s">
        <v>173</v>
      </c>
      <c r="C62" s="60"/>
      <c r="D62" s="57">
        <v>0</v>
      </c>
      <c r="E62" s="57">
        <v>0.5</v>
      </c>
      <c r="F62" s="57">
        <v>3</v>
      </c>
      <c r="G62" s="57">
        <v>11</v>
      </c>
      <c r="H62" s="57">
        <v>15</v>
      </c>
      <c r="I62" s="57">
        <v>0.5</v>
      </c>
    </row>
    <row r="63" spans="1:9" ht="18" x14ac:dyDescent="0.55000000000000004">
      <c r="A63" s="1">
        <f t="shared" si="1"/>
        <v>61</v>
      </c>
      <c r="B63" s="56" t="s">
        <v>175</v>
      </c>
      <c r="C63" s="60"/>
      <c r="D63" s="57">
        <v>0</v>
      </c>
      <c r="E63" s="57">
        <v>4</v>
      </c>
      <c r="F63" s="57">
        <v>5</v>
      </c>
      <c r="G63" s="57">
        <v>12</v>
      </c>
      <c r="H63" s="57">
        <v>15</v>
      </c>
      <c r="I63" s="57">
        <v>0.5</v>
      </c>
    </row>
    <row r="64" spans="1:9" ht="18" x14ac:dyDescent="0.55000000000000004">
      <c r="A64" s="1">
        <f t="shared" si="1"/>
        <v>62</v>
      </c>
      <c r="B64" s="56" t="s">
        <v>241</v>
      </c>
      <c r="C64" s="60"/>
      <c r="D64" s="57">
        <v>0</v>
      </c>
      <c r="E64" s="57">
        <v>0</v>
      </c>
      <c r="F64" s="57">
        <v>0</v>
      </c>
      <c r="G64" s="57">
        <v>0</v>
      </c>
      <c r="H64" s="57">
        <v>6</v>
      </c>
      <c r="I64" s="57">
        <v>0.5</v>
      </c>
    </row>
    <row r="65" spans="1:9" ht="18" x14ac:dyDescent="0.55000000000000004">
      <c r="A65" s="1">
        <f t="shared" si="1"/>
        <v>63</v>
      </c>
      <c r="B65" s="56" t="s">
        <v>177</v>
      </c>
      <c r="C65" s="60"/>
      <c r="D65" s="57">
        <v>0</v>
      </c>
      <c r="E65" s="57">
        <v>0</v>
      </c>
      <c r="F65" s="57">
        <v>4</v>
      </c>
      <c r="G65" s="57">
        <v>12</v>
      </c>
      <c r="H65" s="57">
        <v>15</v>
      </c>
      <c r="I65" s="57">
        <v>0.5</v>
      </c>
    </row>
    <row r="66" spans="1:9" ht="18" x14ac:dyDescent="0.55000000000000004">
      <c r="A66" s="1">
        <f t="shared" si="1"/>
        <v>64</v>
      </c>
      <c r="B66" s="56" t="s">
        <v>232</v>
      </c>
      <c r="C66" s="60"/>
      <c r="D66" s="57">
        <v>0</v>
      </c>
      <c r="E66" s="57">
        <v>0</v>
      </c>
      <c r="F66" s="57">
        <v>0</v>
      </c>
      <c r="G66" s="57">
        <v>0</v>
      </c>
      <c r="H66" s="57">
        <v>15</v>
      </c>
      <c r="I66" s="57">
        <v>0.5</v>
      </c>
    </row>
    <row r="67" spans="1:9" ht="18" x14ac:dyDescent="0.55000000000000004">
      <c r="A67" s="1">
        <f t="shared" si="1"/>
        <v>65</v>
      </c>
      <c r="B67" s="56" t="s">
        <v>179</v>
      </c>
      <c r="C67" s="60"/>
      <c r="D67" s="57">
        <v>0</v>
      </c>
      <c r="E67" s="57">
        <v>0</v>
      </c>
      <c r="F67" s="57">
        <v>3.5</v>
      </c>
      <c r="G67" s="57">
        <v>12</v>
      </c>
      <c r="H67" s="57">
        <v>15</v>
      </c>
      <c r="I67" s="57">
        <v>0.5</v>
      </c>
    </row>
    <row r="68" spans="1:9" ht="18" x14ac:dyDescent="0.55000000000000004">
      <c r="A68" s="1">
        <f t="shared" ref="A68:A83" si="2">A67+1</f>
        <v>66</v>
      </c>
      <c r="B68" s="56" t="s">
        <v>186</v>
      </c>
      <c r="C68" s="60"/>
      <c r="D68" s="57">
        <v>0</v>
      </c>
      <c r="E68" s="57">
        <v>0</v>
      </c>
      <c r="F68" s="57">
        <v>0</v>
      </c>
      <c r="G68" s="57">
        <v>0</v>
      </c>
      <c r="H68" s="57">
        <v>15</v>
      </c>
      <c r="I68" s="57">
        <v>0.5</v>
      </c>
    </row>
    <row r="69" spans="1:9" ht="18" x14ac:dyDescent="0.55000000000000004">
      <c r="A69" s="1">
        <f t="shared" si="2"/>
        <v>67</v>
      </c>
      <c r="B69" s="56" t="s">
        <v>189</v>
      </c>
      <c r="C69" s="60"/>
      <c r="D69" s="57">
        <v>0</v>
      </c>
      <c r="E69" s="57">
        <v>0</v>
      </c>
      <c r="F69" s="57">
        <v>0</v>
      </c>
      <c r="G69" s="57">
        <v>0</v>
      </c>
      <c r="H69" s="57">
        <v>15</v>
      </c>
      <c r="I69" s="57">
        <v>0.5</v>
      </c>
    </row>
    <row r="70" spans="1:9" ht="18" x14ac:dyDescent="0.55000000000000004">
      <c r="A70" s="1">
        <f t="shared" si="2"/>
        <v>68</v>
      </c>
      <c r="B70" s="56" t="s">
        <v>191</v>
      </c>
      <c r="C70" s="60"/>
      <c r="D70" s="57">
        <v>0</v>
      </c>
      <c r="E70" s="57">
        <v>0</v>
      </c>
      <c r="F70" s="57">
        <v>0</v>
      </c>
      <c r="G70" s="57">
        <v>1</v>
      </c>
      <c r="H70" s="57">
        <v>15</v>
      </c>
      <c r="I70" s="57">
        <v>0.5</v>
      </c>
    </row>
    <row r="71" spans="1:9" ht="18" x14ac:dyDescent="0.55000000000000004">
      <c r="A71" s="1">
        <f t="shared" si="2"/>
        <v>69</v>
      </c>
      <c r="B71" s="56" t="s">
        <v>193</v>
      </c>
      <c r="C71" s="60"/>
      <c r="D71" s="57">
        <v>0</v>
      </c>
      <c r="E71" s="57">
        <v>0</v>
      </c>
      <c r="F71" s="57">
        <v>3.5</v>
      </c>
      <c r="G71" s="57">
        <v>12</v>
      </c>
      <c r="H71" s="57">
        <v>15</v>
      </c>
      <c r="I71" s="57">
        <v>0.5</v>
      </c>
    </row>
    <row r="72" spans="1:9" ht="18" x14ac:dyDescent="0.55000000000000004">
      <c r="A72" s="1">
        <f t="shared" si="2"/>
        <v>70</v>
      </c>
      <c r="B72" s="56" t="s">
        <v>249</v>
      </c>
      <c r="C72" s="60"/>
      <c r="D72" s="57">
        <v>0</v>
      </c>
      <c r="E72" s="57">
        <v>0</v>
      </c>
      <c r="F72" s="57">
        <v>0</v>
      </c>
      <c r="G72" s="57">
        <v>0</v>
      </c>
      <c r="H72" s="57">
        <v>0</v>
      </c>
      <c r="I72" s="57">
        <v>0.5</v>
      </c>
    </row>
    <row r="73" spans="1:9" ht="18" x14ac:dyDescent="0.55000000000000004">
      <c r="A73" s="1">
        <f t="shared" si="2"/>
        <v>71</v>
      </c>
      <c r="B73" s="56" t="s">
        <v>195</v>
      </c>
      <c r="C73" s="60"/>
      <c r="D73" s="57">
        <v>0</v>
      </c>
      <c r="E73" s="57">
        <v>0</v>
      </c>
      <c r="F73" s="57">
        <v>0</v>
      </c>
      <c r="G73" s="57">
        <v>6</v>
      </c>
      <c r="H73" s="57">
        <v>15</v>
      </c>
      <c r="I73" s="57">
        <v>0.5</v>
      </c>
    </row>
    <row r="74" spans="1:9" ht="18" x14ac:dyDescent="0.55000000000000004">
      <c r="A74" s="1">
        <f t="shared" si="2"/>
        <v>72</v>
      </c>
      <c r="B74" s="56" t="s">
        <v>198</v>
      </c>
      <c r="C74" s="60"/>
      <c r="D74" s="57">
        <v>0</v>
      </c>
      <c r="E74" s="57">
        <v>0</v>
      </c>
      <c r="F74" s="57">
        <v>0</v>
      </c>
      <c r="G74" s="57">
        <v>6</v>
      </c>
      <c r="H74" s="57">
        <v>15</v>
      </c>
      <c r="I74" s="57">
        <v>0.5</v>
      </c>
    </row>
    <row r="75" spans="1:9" ht="18" x14ac:dyDescent="0.55000000000000004">
      <c r="A75" s="1">
        <f t="shared" si="2"/>
        <v>73</v>
      </c>
      <c r="B75" s="56" t="s">
        <v>200</v>
      </c>
      <c r="C75" s="60"/>
      <c r="D75" s="57">
        <v>0</v>
      </c>
      <c r="E75" s="57">
        <v>0</v>
      </c>
      <c r="F75" s="57">
        <v>0</v>
      </c>
      <c r="G75" s="57">
        <v>7</v>
      </c>
      <c r="H75" s="57">
        <v>15</v>
      </c>
      <c r="I75" s="57">
        <v>0.5</v>
      </c>
    </row>
    <row r="76" spans="1:9" ht="18" x14ac:dyDescent="0.55000000000000004">
      <c r="A76" s="1">
        <f t="shared" si="2"/>
        <v>74</v>
      </c>
      <c r="B76" s="56" t="s">
        <v>202</v>
      </c>
      <c r="C76" s="60"/>
      <c r="D76" s="57">
        <v>0</v>
      </c>
      <c r="E76" s="57">
        <v>0</v>
      </c>
      <c r="F76" s="57">
        <v>5</v>
      </c>
      <c r="G76" s="57">
        <v>12</v>
      </c>
      <c r="H76" s="57">
        <v>15</v>
      </c>
      <c r="I76" s="57">
        <v>0.5</v>
      </c>
    </row>
    <row r="77" spans="1:9" ht="18" x14ac:dyDescent="0.55000000000000004">
      <c r="A77" s="1">
        <f t="shared" si="2"/>
        <v>75</v>
      </c>
      <c r="B77" s="56" t="s">
        <v>207</v>
      </c>
      <c r="C77" s="60"/>
      <c r="D77" s="57">
        <v>0</v>
      </c>
      <c r="E77" s="57">
        <v>0</v>
      </c>
      <c r="F77" s="57">
        <v>0</v>
      </c>
      <c r="G77" s="57">
        <v>0</v>
      </c>
      <c r="H77" s="57">
        <v>0</v>
      </c>
      <c r="I77" s="57">
        <v>0</v>
      </c>
    </row>
    <row r="78" spans="1:9" ht="18" x14ac:dyDescent="0.55000000000000004">
      <c r="A78" s="1">
        <f t="shared" si="2"/>
        <v>76</v>
      </c>
      <c r="B78" s="56" t="s">
        <v>204</v>
      </c>
      <c r="C78" s="60"/>
      <c r="D78" s="57">
        <v>0</v>
      </c>
      <c r="E78" s="57">
        <v>0</v>
      </c>
      <c r="F78" s="57">
        <v>0</v>
      </c>
      <c r="G78" s="57">
        <v>0</v>
      </c>
      <c r="H78" s="57">
        <v>0</v>
      </c>
      <c r="I78" s="57">
        <v>0</v>
      </c>
    </row>
    <row r="79" spans="1:9" ht="18" x14ac:dyDescent="0.55000000000000004">
      <c r="A79" s="1">
        <f t="shared" si="2"/>
        <v>77</v>
      </c>
      <c r="B79" s="56" t="s">
        <v>83</v>
      </c>
      <c r="C79" s="60"/>
      <c r="D79" s="57">
        <v>0</v>
      </c>
      <c r="E79" s="57">
        <v>0</v>
      </c>
      <c r="F79" s="57">
        <v>0</v>
      </c>
      <c r="G79" s="57">
        <v>0</v>
      </c>
      <c r="H79" s="57">
        <v>0</v>
      </c>
      <c r="I79" s="57">
        <v>0</v>
      </c>
    </row>
    <row r="80" spans="1:9" ht="18" x14ac:dyDescent="0.55000000000000004">
      <c r="A80" s="1">
        <f t="shared" si="2"/>
        <v>78</v>
      </c>
      <c r="B80" s="56" t="s">
        <v>210</v>
      </c>
      <c r="C80" s="60"/>
      <c r="D80" s="57">
        <v>0</v>
      </c>
      <c r="E80" s="57">
        <v>0</v>
      </c>
      <c r="F80" s="57">
        <v>0</v>
      </c>
      <c r="G80" s="57">
        <v>0</v>
      </c>
      <c r="H80" s="57">
        <v>0</v>
      </c>
      <c r="I80" s="57">
        <v>0</v>
      </c>
    </row>
    <row r="81" spans="1:9" ht="18" x14ac:dyDescent="0.55000000000000004">
      <c r="A81" s="1">
        <f t="shared" si="2"/>
        <v>79</v>
      </c>
      <c r="B81" s="59" t="s">
        <v>212</v>
      </c>
      <c r="C81" s="60"/>
      <c r="D81" s="57">
        <v>0</v>
      </c>
      <c r="E81" s="57">
        <v>0</v>
      </c>
      <c r="F81" s="57">
        <v>0</v>
      </c>
      <c r="G81" s="57">
        <v>0</v>
      </c>
      <c r="H81" s="57">
        <v>0</v>
      </c>
      <c r="I81" s="57">
        <v>0</v>
      </c>
    </row>
    <row r="82" spans="1:9" ht="18" x14ac:dyDescent="0.55000000000000004">
      <c r="A82" s="1">
        <f t="shared" si="2"/>
        <v>80</v>
      </c>
      <c r="B82" s="59" t="s">
        <v>215</v>
      </c>
      <c r="C82" s="60"/>
      <c r="D82" s="57">
        <v>0</v>
      </c>
      <c r="E82" s="57">
        <v>0</v>
      </c>
      <c r="F82" s="57">
        <v>0</v>
      </c>
      <c r="G82" s="57">
        <v>2</v>
      </c>
      <c r="H82" s="57">
        <v>15</v>
      </c>
      <c r="I82" s="57">
        <v>0.5</v>
      </c>
    </row>
    <row r="83" spans="1:9" ht="18" x14ac:dyDescent="0.55000000000000004">
      <c r="A83" s="1">
        <f t="shared" si="2"/>
        <v>81</v>
      </c>
      <c r="B83" s="59" t="s">
        <v>124</v>
      </c>
      <c r="C83" s="60"/>
      <c r="D83" s="57">
        <v>0</v>
      </c>
      <c r="E83" s="57">
        <v>0</v>
      </c>
      <c r="F83" s="57">
        <v>3</v>
      </c>
      <c r="G83" s="57">
        <v>10</v>
      </c>
      <c r="H83" s="57">
        <v>15</v>
      </c>
      <c r="I83" s="57">
        <v>0.5</v>
      </c>
    </row>
  </sheetData>
  <mergeCells count="1">
    <mergeCell ref="D1:I1"/>
  </mergeCells>
  <hyperlinks>
    <hyperlink ref="A1" r:id="rId1" xr:uid="{930B6935-BAE6-4F0C-98BF-C8000EC21F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Anchors_Feb'26</vt:lpstr>
      <vt:lpstr>Anchor-Attendance</vt:lpstr>
      <vt:lpstr>Jan'26- Leave 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archana ambepu</cp:lastModifiedBy>
  <dcterms:created xsi:type="dcterms:W3CDTF">2026-03-03T05:57:34Z</dcterms:created>
  <dcterms:modified xsi:type="dcterms:W3CDTF">2026-03-05T06:43:14Z</dcterms:modified>
</cp:coreProperties>
</file>